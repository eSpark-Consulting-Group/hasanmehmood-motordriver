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hasanmehmood-motordriver\Design-Files\Transmitter433MHz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6" i="1" l="1"/>
  <c r="B30" i="1" l="1"/>
  <c r="B29" i="1" l="1"/>
  <c r="B28" i="1"/>
  <c r="B27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<sst xmlns="http://schemas.openxmlformats.org/spreadsheetml/2006/main" count="165" uniqueCount="125">
  <si>
    <t>Component list</t>
  </si>
  <si>
    <t>Source Data From:</t>
  </si>
  <si>
    <t>Project:</t>
  </si>
  <si>
    <t>Variant:</t>
  </si>
  <si>
    <t>#</t>
  </si>
  <si>
    <t>None</t>
  </si>
  <si>
    <t>Item Type</t>
  </si>
  <si>
    <t>Antenna</t>
  </si>
  <si>
    <t>Capacitor</t>
  </si>
  <si>
    <t>Battery Connector</t>
  </si>
  <si>
    <t>Inductor</t>
  </si>
  <si>
    <t>LED</t>
  </si>
  <si>
    <t>Resistor</t>
  </si>
  <si>
    <t>IC</t>
  </si>
  <si>
    <t>Crystal</t>
  </si>
  <si>
    <t>Designator</t>
  </si>
  <si>
    <t>ANT1</t>
  </si>
  <si>
    <t>C1, C2</t>
  </si>
  <si>
    <t>C3</t>
  </si>
  <si>
    <t>C4</t>
  </si>
  <si>
    <t>C5</t>
  </si>
  <si>
    <t>C7</t>
  </si>
  <si>
    <t>J1</t>
  </si>
  <si>
    <t>L1</t>
  </si>
  <si>
    <t>L2</t>
  </si>
  <si>
    <t>L3</t>
  </si>
  <si>
    <t>LED1</t>
  </si>
  <si>
    <t>R1, R2</t>
  </si>
  <si>
    <t>R4</t>
  </si>
  <si>
    <t>R5</t>
  </si>
  <si>
    <t>R6</t>
  </si>
  <si>
    <t>R7</t>
  </si>
  <si>
    <t>U1</t>
  </si>
  <si>
    <t>U2</t>
  </si>
  <si>
    <t>X1</t>
  </si>
  <si>
    <t>Description</t>
  </si>
  <si>
    <t>433MHz helical Antennas ROHS</t>
  </si>
  <si>
    <t>CAP CER 18PF 50V C0G/NP0 0402</t>
  </si>
  <si>
    <t>CAP CER 1UF 25V X5R 0402</t>
  </si>
  <si>
    <t>CAP CER 12PF 50V C0G/NP0 0402</t>
  </si>
  <si>
    <t>CAP CER 2.2UF 25V X5R 0402</t>
  </si>
  <si>
    <t>CAP CER 100PF 50V C0G/NPO 0402</t>
  </si>
  <si>
    <t>Battery button CR2032 Plugin Battery Connectors ROHS</t>
  </si>
  <si>
    <t>FIXED IND 180NH 150MA 3.38OHM SM</t>
  </si>
  <si>
    <t>30mA 120nH ±5% 2.2Ω 0402 Inductors (SMD) ROHS</t>
  </si>
  <si>
    <t>100mA 56nH ±5% 0.97Ω 0402 Inductors (SMD) ROHS</t>
  </si>
  <si>
    <t>RED LED 0603 Light Emitting Diodes</t>
  </si>
  <si>
    <t>Zero Ohm Resistor, Jumper, 0402 [1005 Metric], Thick Film, 63 mW, 1 A, Surface Mount</t>
  </si>
  <si>
    <t>RES SMD 300K OHM 1% 1/5W 0402</t>
  </si>
  <si>
    <t>RES SMD 1K OHM 1% 1/5W 0402</t>
  </si>
  <si>
    <t>RES SMD 10K OHM 0.1% 1/16W 0402</t>
  </si>
  <si>
    <t>RES 3.3K OHM 1% 1/16W 0402</t>
  </si>
  <si>
    <t>SOT-23-6 RF Transceiver ICs ROHS</t>
  </si>
  <si>
    <t>SOP-8 Interface - Specialized ROHS</t>
  </si>
  <si>
    <t>13.56MHz null ±10ppm HC-49S-SMD-2P-Mini Crystals ROHS</t>
  </si>
  <si>
    <t>Footprint</t>
  </si>
  <si>
    <t>T14-433M</t>
  </si>
  <si>
    <t>Cap-0402</t>
  </si>
  <si>
    <t>MY-2032-02</t>
  </si>
  <si>
    <t>IND-0402</t>
  </si>
  <si>
    <t>LED-0603</t>
  </si>
  <si>
    <t>Res-0402</t>
  </si>
  <si>
    <t>SOT-23-6</t>
  </si>
  <si>
    <t>SOP-8</t>
  </si>
  <si>
    <t>HC-49S-SMD-2P-Mini</t>
  </si>
  <si>
    <t>Manufacturer Part Number</t>
  </si>
  <si>
    <t>GCM1555C1H180GA16D</t>
  </si>
  <si>
    <t>CC0402KRX5R8BB105</t>
  </si>
  <si>
    <t>GJM1555C1H120GB01D</t>
  </si>
  <si>
    <t>GRM155R61E225KE11D</t>
  </si>
  <si>
    <t>CC0402JRNPO9BN101</t>
  </si>
  <si>
    <t>LQG15HSR18J02D</t>
  </si>
  <si>
    <t>FHW0402UCR12JST</t>
  </si>
  <si>
    <t>AHW1005C-56NJTF</t>
  </si>
  <si>
    <t>NCD0603R3</t>
  </si>
  <si>
    <t>AC0402FR-070RL</t>
  </si>
  <si>
    <t>RCS0402300KFKED</t>
  </si>
  <si>
    <t>CRCW04021K00FKEDHP</t>
  </si>
  <si>
    <t>RT0402BRD0710KL</t>
  </si>
  <si>
    <t>RC0402FR-073K3L</t>
  </si>
  <si>
    <t>WF4455TD AS6T LG</t>
  </si>
  <si>
    <t>L1527</t>
  </si>
  <si>
    <t>13.560M 20PF 10PPM</t>
  </si>
  <si>
    <t>Manufacturer</t>
  </si>
  <si>
    <t>DreamLNK</t>
  </si>
  <si>
    <t>Murata</t>
  </si>
  <si>
    <t>Yageo</t>
  </si>
  <si>
    <t>MYOUNG</t>
  </si>
  <si>
    <t>FH</t>
  </si>
  <si>
    <t>APV</t>
  </si>
  <si>
    <t>Foshan NationStar Optoelectronics</t>
  </si>
  <si>
    <t>Vishay Dale</t>
  </si>
  <si>
    <t>WF</t>
  </si>
  <si>
    <t>WL</t>
  </si>
  <si>
    <t>SST</t>
  </si>
  <si>
    <t>Comment</t>
  </si>
  <si>
    <t>18pF</t>
  </si>
  <si>
    <t>1uF</t>
  </si>
  <si>
    <t>12pF</t>
  </si>
  <si>
    <t>2.2uf</t>
  </si>
  <si>
    <t>100pF</t>
  </si>
  <si>
    <t>180nH</t>
  </si>
  <si>
    <t>120nH</t>
  </si>
  <si>
    <t>56nH</t>
  </si>
  <si>
    <t>RED</t>
  </si>
  <si>
    <t>0R</t>
  </si>
  <si>
    <t>300K</t>
  </si>
  <si>
    <t>1K</t>
  </si>
  <si>
    <t>10K</t>
  </si>
  <si>
    <t>3.3K</t>
  </si>
  <si>
    <t>13.56MHz</t>
  </si>
  <si>
    <t>Quantity</t>
  </si>
  <si>
    <t>Bill of Materials for Project [Transmitter_v1.0.</t>
  </si>
  <si>
    <t>Transmitter_v1.0.</t>
  </si>
  <si>
    <t>Remarks</t>
  </si>
  <si>
    <t>Peripheral</t>
  </si>
  <si>
    <t>-</t>
  </si>
  <si>
    <t>Panasonic CR2032 3 Alkaline V Batteries</t>
  </si>
  <si>
    <t>Battery Cell</t>
  </si>
  <si>
    <t>Panasonic</t>
  </si>
  <si>
    <t>Switch</t>
  </si>
  <si>
    <t>SW1, SW2, SW3, SW4</t>
  </si>
  <si>
    <t>SWITCH TACTILE SPST-NO 0.05A 12V</t>
  </si>
  <si>
    <t>B3U-1000P</t>
  </si>
  <si>
    <t>Omron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</si>
</sst>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2"/>
  <sheetViews>
    <sheetView tabSelected="1" workbookViewId="0">
      <selection activeCell="G19" sqref="G19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6"/>
      <c r="J1" s="56"/>
      <c r="K1" s="56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112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113</v>
      </c>
      <c r="G3" s="12"/>
      <c r="H3" s="4"/>
      <c r="I3" s="4"/>
      <c r="J3" s="4"/>
      <c r="K3" s="57"/>
    </row>
    <row r="4" spans="1:11" x14ac:dyDescent="0.25">
      <c r="A4" s="1"/>
      <c r="B4" s="21"/>
      <c r="C4" s="44"/>
      <c r="D4" s="12" t="s">
        <v>2</v>
      </c>
      <c r="E4" s="12"/>
      <c r="F4" s="53" t="s">
        <v>113</v>
      </c>
      <c r="G4" s="13"/>
      <c r="H4" s="6"/>
      <c r="I4" s="6"/>
      <c r="J4" s="6"/>
      <c r="K4" s="58"/>
    </row>
    <row r="5" spans="1:11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58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8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58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58"/>
    </row>
    <row r="9" spans="1:11" ht="15.75" thickBot="1" x14ac:dyDescent="0.3">
      <c r="A9" s="1"/>
      <c r="B9" s="29" t="s">
        <v>4</v>
      </c>
      <c r="C9" s="29" t="s">
        <v>6</v>
      </c>
      <c r="D9" s="29" t="s">
        <v>15</v>
      </c>
      <c r="E9" s="30" t="s">
        <v>35</v>
      </c>
      <c r="F9" s="29" t="s">
        <v>55</v>
      </c>
      <c r="G9" s="30" t="s">
        <v>65</v>
      </c>
      <c r="H9" s="29" t="s">
        <v>83</v>
      </c>
      <c r="I9" s="30" t="s">
        <v>95</v>
      </c>
      <c r="J9" s="29" t="s">
        <v>111</v>
      </c>
      <c r="K9" s="29" t="s">
        <v>114</v>
      </c>
    </row>
    <row r="10" spans="1:11" ht="15.75" thickBot="1" x14ac:dyDescent="0.3">
      <c r="A10" s="1"/>
      <c r="B10" s="50">
        <f>ROW(B10) - ROW($B$9)</f>
        <v>1</v>
      </c>
      <c r="C10" s="55" t="s">
        <v>7</v>
      </c>
      <c r="D10" s="36" t="s">
        <v>16</v>
      </c>
      <c r="E10" s="37" t="s">
        <v>36</v>
      </c>
      <c r="F10" s="36" t="s">
        <v>56</v>
      </c>
      <c r="G10" s="37" t="s">
        <v>56</v>
      </c>
      <c r="H10" s="36" t="s">
        <v>84</v>
      </c>
      <c r="I10" s="37" t="s">
        <v>56</v>
      </c>
      <c r="J10" s="36">
        <v>1</v>
      </c>
      <c r="K10" s="36"/>
    </row>
    <row r="11" spans="1:11" ht="15.75" thickBot="1" x14ac:dyDescent="0.3">
      <c r="A11" s="1"/>
      <c r="B11" s="50">
        <f t="shared" ref="B11:B30" si="0">ROW(B11) - ROW($B$9)</f>
        <v>2</v>
      </c>
      <c r="C11" s="55" t="s">
        <v>8</v>
      </c>
      <c r="D11" s="38" t="s">
        <v>17</v>
      </c>
      <c r="E11" s="39" t="s">
        <v>37</v>
      </c>
      <c r="F11" s="38" t="s">
        <v>57</v>
      </c>
      <c r="G11" s="39" t="s">
        <v>66</v>
      </c>
      <c r="H11" s="38" t="s">
        <v>85</v>
      </c>
      <c r="I11" s="39" t="s">
        <v>96</v>
      </c>
      <c r="J11" s="38">
        <v>2</v>
      </c>
      <c r="K11" s="38"/>
    </row>
    <row r="12" spans="1:11" ht="15.75" thickBot="1" x14ac:dyDescent="0.3">
      <c r="A12" s="1"/>
      <c r="B12" s="50">
        <f>ROW(B12) - ROW($B$9)</f>
        <v>3</v>
      </c>
      <c r="C12" s="55" t="s">
        <v>8</v>
      </c>
      <c r="D12" s="36" t="s">
        <v>18</v>
      </c>
      <c r="E12" s="37" t="s">
        <v>38</v>
      </c>
      <c r="F12" s="36" t="s">
        <v>57</v>
      </c>
      <c r="G12" s="37" t="s">
        <v>67</v>
      </c>
      <c r="H12" s="36" t="s">
        <v>86</v>
      </c>
      <c r="I12" s="37" t="s">
        <v>97</v>
      </c>
      <c r="J12" s="36">
        <v>1</v>
      </c>
      <c r="K12" s="36"/>
    </row>
    <row r="13" spans="1:11" ht="15.75" thickBot="1" x14ac:dyDescent="0.3">
      <c r="A13" s="1"/>
      <c r="B13" s="50">
        <f t="shared" si="0"/>
        <v>4</v>
      </c>
      <c r="C13" s="55" t="s">
        <v>8</v>
      </c>
      <c r="D13" s="38" t="s">
        <v>19</v>
      </c>
      <c r="E13" s="39" t="s">
        <v>39</v>
      </c>
      <c r="F13" s="38" t="s">
        <v>57</v>
      </c>
      <c r="G13" s="39" t="s">
        <v>68</v>
      </c>
      <c r="H13" s="38" t="s">
        <v>85</v>
      </c>
      <c r="I13" s="39" t="s">
        <v>98</v>
      </c>
      <c r="J13" s="38">
        <v>1</v>
      </c>
      <c r="K13" s="38"/>
    </row>
    <row r="14" spans="1:11" ht="15.75" thickBot="1" x14ac:dyDescent="0.3">
      <c r="A14" s="1"/>
      <c r="B14" s="50">
        <f>ROW(B14) - ROW($B$9)</f>
        <v>5</v>
      </c>
      <c r="C14" s="55" t="s">
        <v>8</v>
      </c>
      <c r="D14" s="36" t="s">
        <v>20</v>
      </c>
      <c r="E14" s="37" t="s">
        <v>40</v>
      </c>
      <c r="F14" s="36" t="s">
        <v>57</v>
      </c>
      <c r="G14" s="37" t="s">
        <v>69</v>
      </c>
      <c r="H14" s="36" t="s">
        <v>85</v>
      </c>
      <c r="I14" s="37" t="s">
        <v>99</v>
      </c>
      <c r="J14" s="36">
        <v>1</v>
      </c>
      <c r="K14" s="36"/>
    </row>
    <row r="15" spans="1:11" ht="15.75" thickBot="1" x14ac:dyDescent="0.3">
      <c r="A15" s="1"/>
      <c r="B15" s="50">
        <f t="shared" si="0"/>
        <v>6</v>
      </c>
      <c r="C15" s="55" t="s">
        <v>8</v>
      </c>
      <c r="D15" s="38" t="s">
        <v>21</v>
      </c>
      <c r="E15" s="39" t="s">
        <v>41</v>
      </c>
      <c r="F15" s="38" t="s">
        <v>57</v>
      </c>
      <c r="G15" s="39" t="s">
        <v>70</v>
      </c>
      <c r="H15" s="38" t="s">
        <v>86</v>
      </c>
      <c r="I15" s="39" t="s">
        <v>100</v>
      </c>
      <c r="J15" s="38">
        <v>1</v>
      </c>
      <c r="K15" s="38"/>
    </row>
    <row r="16" spans="1:11" ht="24.75" thickBot="1" x14ac:dyDescent="0.3">
      <c r="A16" s="1"/>
      <c r="B16" s="50">
        <f>ROW(B16) - ROW($B$9)</f>
        <v>7</v>
      </c>
      <c r="C16" s="55" t="s">
        <v>9</v>
      </c>
      <c r="D16" s="36" t="s">
        <v>22</v>
      </c>
      <c r="E16" s="37" t="s">
        <v>42</v>
      </c>
      <c r="F16" s="36" t="s">
        <v>58</v>
      </c>
      <c r="G16" s="37" t="s">
        <v>58</v>
      </c>
      <c r="H16" s="36" t="s">
        <v>87</v>
      </c>
      <c r="I16" s="37" t="s">
        <v>58</v>
      </c>
      <c r="J16" s="36">
        <v>1</v>
      </c>
      <c r="K16" s="36"/>
    </row>
    <row r="17" spans="1:11" ht="15.75" thickBot="1" x14ac:dyDescent="0.3">
      <c r="A17" s="1"/>
      <c r="B17" s="50">
        <f>ROW(B17) - ROW($B$9)</f>
        <v>8</v>
      </c>
      <c r="C17" s="55" t="s">
        <v>10</v>
      </c>
      <c r="D17" s="36" t="s">
        <v>23</v>
      </c>
      <c r="E17" s="37" t="s">
        <v>43</v>
      </c>
      <c r="F17" s="36" t="s">
        <v>59</v>
      </c>
      <c r="G17" s="37" t="s">
        <v>71</v>
      </c>
      <c r="H17" s="36" t="s">
        <v>85</v>
      </c>
      <c r="I17" s="37" t="s">
        <v>101</v>
      </c>
      <c r="J17" s="36">
        <v>1</v>
      </c>
      <c r="K17" s="36"/>
    </row>
    <row r="18" spans="1:11" ht="24.75" thickBot="1" x14ac:dyDescent="0.3">
      <c r="A18" s="1"/>
      <c r="B18" s="50">
        <f t="shared" si="0"/>
        <v>9</v>
      </c>
      <c r="C18" s="55" t="s">
        <v>10</v>
      </c>
      <c r="D18" s="38" t="s">
        <v>24</v>
      </c>
      <c r="E18" s="39" t="s">
        <v>44</v>
      </c>
      <c r="F18" s="38" t="s">
        <v>59</v>
      </c>
      <c r="G18" s="39" t="s">
        <v>72</v>
      </c>
      <c r="H18" s="38" t="s">
        <v>88</v>
      </c>
      <c r="I18" s="39" t="s">
        <v>102</v>
      </c>
      <c r="J18" s="38">
        <v>1</v>
      </c>
      <c r="K18" s="38"/>
    </row>
    <row r="19" spans="1:11" ht="24.75" thickBot="1" x14ac:dyDescent="0.3">
      <c r="A19" s="1"/>
      <c r="B19" s="50">
        <f>ROW(B19) - ROW($B$9)</f>
        <v>10</v>
      </c>
      <c r="C19" s="55" t="s">
        <v>10</v>
      </c>
      <c r="D19" s="36" t="s">
        <v>25</v>
      </c>
      <c r="E19" s="37" t="s">
        <v>45</v>
      </c>
      <c r="F19" s="36" t="s">
        <v>59</v>
      </c>
      <c r="G19" s="37" t="s">
        <v>73</v>
      </c>
      <c r="H19" s="36" t="s">
        <v>89</v>
      </c>
      <c r="I19" s="37" t="s">
        <v>103</v>
      </c>
      <c r="J19" s="36">
        <v>1</v>
      </c>
      <c r="K19" s="36"/>
    </row>
    <row r="20" spans="1:11" ht="24.75" thickBot="1" x14ac:dyDescent="0.3">
      <c r="A20" s="1"/>
      <c r="B20" s="50">
        <f t="shared" si="0"/>
        <v>11</v>
      </c>
      <c r="C20" s="55" t="s">
        <v>11</v>
      </c>
      <c r="D20" s="38" t="s">
        <v>26</v>
      </c>
      <c r="E20" s="39" t="s">
        <v>46</v>
      </c>
      <c r="F20" s="38" t="s">
        <v>60</v>
      </c>
      <c r="G20" s="39" t="s">
        <v>74</v>
      </c>
      <c r="H20" s="38" t="s">
        <v>90</v>
      </c>
      <c r="I20" s="39" t="s">
        <v>104</v>
      </c>
      <c r="J20" s="38">
        <v>1</v>
      </c>
      <c r="K20" s="38"/>
    </row>
    <row r="21" spans="1:11" ht="36.75" thickBot="1" x14ac:dyDescent="0.3">
      <c r="A21" s="1"/>
      <c r="B21" s="50">
        <f>ROW(B21) - ROW($B$9)</f>
        <v>12</v>
      </c>
      <c r="C21" s="55" t="s">
        <v>12</v>
      </c>
      <c r="D21" s="36" t="s">
        <v>27</v>
      </c>
      <c r="E21" s="37" t="s">
        <v>47</v>
      </c>
      <c r="F21" s="36" t="s">
        <v>61</v>
      </c>
      <c r="G21" s="37" t="s">
        <v>75</v>
      </c>
      <c r="H21" s="36" t="s">
        <v>86</v>
      </c>
      <c r="I21" s="37" t="s">
        <v>105</v>
      </c>
      <c r="J21" s="36">
        <v>2</v>
      </c>
      <c r="K21" s="36"/>
    </row>
    <row r="22" spans="1:11" ht="15.75" thickBot="1" x14ac:dyDescent="0.3">
      <c r="A22" s="1"/>
      <c r="B22" s="50">
        <f t="shared" si="0"/>
        <v>13</v>
      </c>
      <c r="C22" s="55" t="s">
        <v>12</v>
      </c>
      <c r="D22" s="38" t="s">
        <v>28</v>
      </c>
      <c r="E22" s="39" t="s">
        <v>48</v>
      </c>
      <c r="F22" s="38" t="s">
        <v>61</v>
      </c>
      <c r="G22" s="39" t="s">
        <v>76</v>
      </c>
      <c r="H22" s="38" t="s">
        <v>91</v>
      </c>
      <c r="I22" s="39" t="s">
        <v>106</v>
      </c>
      <c r="J22" s="38">
        <v>1</v>
      </c>
      <c r="K22" s="38"/>
    </row>
    <row r="23" spans="1:11" ht="15.75" thickBot="1" x14ac:dyDescent="0.3">
      <c r="A23" s="1"/>
      <c r="B23" s="50">
        <f>ROW(B23) - ROW($B$9)</f>
        <v>14</v>
      </c>
      <c r="C23" s="55" t="s">
        <v>12</v>
      </c>
      <c r="D23" s="36" t="s">
        <v>29</v>
      </c>
      <c r="E23" s="37" t="s">
        <v>49</v>
      </c>
      <c r="F23" s="36" t="s">
        <v>61</v>
      </c>
      <c r="G23" s="37" t="s">
        <v>77</v>
      </c>
      <c r="H23" s="36" t="s">
        <v>91</v>
      </c>
      <c r="I23" s="37" t="s">
        <v>107</v>
      </c>
      <c r="J23" s="36">
        <v>1</v>
      </c>
      <c r="K23" s="36"/>
    </row>
    <row r="24" spans="1:11" ht="15.75" thickBot="1" x14ac:dyDescent="0.3">
      <c r="A24" s="1"/>
      <c r="B24" s="50">
        <f t="shared" si="0"/>
        <v>15</v>
      </c>
      <c r="C24" s="55" t="s">
        <v>12</v>
      </c>
      <c r="D24" s="38" t="s">
        <v>30</v>
      </c>
      <c r="E24" s="39" t="s">
        <v>50</v>
      </c>
      <c r="F24" s="38" t="s">
        <v>61</v>
      </c>
      <c r="G24" s="39" t="s">
        <v>78</v>
      </c>
      <c r="H24" s="38" t="s">
        <v>86</v>
      </c>
      <c r="I24" s="39" t="s">
        <v>108</v>
      </c>
      <c r="J24" s="38">
        <v>1</v>
      </c>
      <c r="K24" s="38"/>
    </row>
    <row r="25" spans="1:11" ht="15.75" thickBot="1" x14ac:dyDescent="0.3">
      <c r="A25" s="1"/>
      <c r="B25" s="50">
        <f>ROW(B25) - ROW($B$9)</f>
        <v>16</v>
      </c>
      <c r="C25" s="55" t="s">
        <v>12</v>
      </c>
      <c r="D25" s="36" t="s">
        <v>31</v>
      </c>
      <c r="E25" s="37" t="s">
        <v>51</v>
      </c>
      <c r="F25" s="36" t="s">
        <v>61</v>
      </c>
      <c r="G25" s="37" t="s">
        <v>79</v>
      </c>
      <c r="H25" s="36" t="s">
        <v>86</v>
      </c>
      <c r="I25" s="37" t="s">
        <v>109</v>
      </c>
      <c r="J25" s="36">
        <v>1</v>
      </c>
      <c r="K25" s="36"/>
    </row>
    <row r="26" spans="1:11" ht="15.75" thickBot="1" x14ac:dyDescent="0.3">
      <c r="A26" s="1"/>
      <c r="B26" s="50">
        <f>ROW(B26) - ROW($B$9)</f>
        <v>17</v>
      </c>
      <c r="C26" s="55" t="s">
        <v>120</v>
      </c>
      <c r="D26" s="36" t="s">
        <v>121</v>
      </c>
      <c r="E26" s="37" t="s">
        <v>122</v>
      </c>
      <c r="F26" s="36" t="s">
        <v>123</v>
      </c>
      <c r="G26" s="37" t="s">
        <v>123</v>
      </c>
      <c r="H26" s="36" t="s">
        <v>124</v>
      </c>
      <c r="I26" s="37" t="s">
        <v>123</v>
      </c>
      <c r="J26" s="36">
        <v>4</v>
      </c>
      <c r="K26" s="36"/>
    </row>
    <row r="27" spans="1:11" ht="15.75" thickBot="1" x14ac:dyDescent="0.3">
      <c r="A27" s="1"/>
      <c r="B27" s="50">
        <f t="shared" si="0"/>
        <v>18</v>
      </c>
      <c r="C27" s="55" t="s">
        <v>13</v>
      </c>
      <c r="D27" s="38" t="s">
        <v>32</v>
      </c>
      <c r="E27" s="39" t="s">
        <v>52</v>
      </c>
      <c r="F27" s="38" t="s">
        <v>62</v>
      </c>
      <c r="G27" s="39" t="s">
        <v>80</v>
      </c>
      <c r="H27" s="38" t="s">
        <v>92</v>
      </c>
      <c r="I27" s="39" t="s">
        <v>80</v>
      </c>
      <c r="J27" s="38">
        <v>1</v>
      </c>
      <c r="K27" s="38"/>
    </row>
    <row r="28" spans="1:11" ht="15.75" thickBot="1" x14ac:dyDescent="0.3">
      <c r="A28" s="1"/>
      <c r="B28" s="50">
        <f>ROW(B28) - ROW($B$9)</f>
        <v>19</v>
      </c>
      <c r="C28" s="55" t="s">
        <v>13</v>
      </c>
      <c r="D28" s="36" t="s">
        <v>33</v>
      </c>
      <c r="E28" s="37" t="s">
        <v>53</v>
      </c>
      <c r="F28" s="36" t="s">
        <v>63</v>
      </c>
      <c r="G28" s="37" t="s">
        <v>81</v>
      </c>
      <c r="H28" s="36" t="s">
        <v>93</v>
      </c>
      <c r="I28" s="37" t="s">
        <v>81</v>
      </c>
      <c r="J28" s="36">
        <v>1</v>
      </c>
      <c r="K28" s="36"/>
    </row>
    <row r="29" spans="1:11" ht="24.75" thickBot="1" x14ac:dyDescent="0.3">
      <c r="A29" s="1"/>
      <c r="B29" s="50">
        <f t="shared" si="0"/>
        <v>20</v>
      </c>
      <c r="C29" s="55" t="s">
        <v>14</v>
      </c>
      <c r="D29" s="38" t="s">
        <v>34</v>
      </c>
      <c r="E29" s="39" t="s">
        <v>54</v>
      </c>
      <c r="F29" s="38" t="s">
        <v>64</v>
      </c>
      <c r="G29" s="39" t="s">
        <v>82</v>
      </c>
      <c r="H29" s="38" t="s">
        <v>94</v>
      </c>
      <c r="I29" s="39" t="s">
        <v>110</v>
      </c>
      <c r="J29" s="38">
        <v>1</v>
      </c>
      <c r="K29" s="38"/>
    </row>
    <row r="30" spans="1:11" ht="24.75" thickBot="1" x14ac:dyDescent="0.3">
      <c r="A30" s="1"/>
      <c r="B30" s="50">
        <f t="shared" si="0"/>
        <v>21</v>
      </c>
      <c r="C30" s="55" t="s">
        <v>115</v>
      </c>
      <c r="D30" s="38" t="s">
        <v>116</v>
      </c>
      <c r="E30" s="38" t="s">
        <v>117</v>
      </c>
      <c r="F30" s="38" t="s">
        <v>116</v>
      </c>
      <c r="G30" s="38" t="s">
        <v>118</v>
      </c>
      <c r="H30" s="38" t="s">
        <v>119</v>
      </c>
      <c r="I30" s="38" t="s">
        <v>116</v>
      </c>
      <c r="J30" s="38">
        <v>1</v>
      </c>
      <c r="K30" s="38"/>
    </row>
    <row r="31" spans="1:11" x14ac:dyDescent="0.25">
      <c r="A31" s="1"/>
      <c r="B31" s="31"/>
      <c r="C31" s="48"/>
      <c r="D31" s="32"/>
      <c r="E31" s="33"/>
      <c r="F31" s="34"/>
      <c r="G31" s="35"/>
      <c r="H31" s="34"/>
      <c r="I31" s="35"/>
      <c r="J31" s="35"/>
      <c r="K31" s="41"/>
    </row>
    <row r="32" spans="1:11" ht="15.75" thickBot="1" x14ac:dyDescent="0.3">
      <c r="A32" s="1"/>
      <c r="B32" s="24"/>
      <c r="C32" s="49"/>
      <c r="D32" s="8"/>
      <c r="E32" s="9"/>
      <c r="F32" s="9"/>
      <c r="G32" s="9"/>
      <c r="H32" s="9"/>
      <c r="I32" s="9"/>
      <c r="J32" s="9"/>
      <c r="K32" s="42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2023-12-15T14:53:26Z</dcterms:modified>
</cp:coreProperties>
</file>