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MotorDriver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2" i="1" l="1"/>
  <c r="B61" i="1" l="1"/>
  <c r="B60" i="1"/>
  <c r="B59" i="1"/>
  <c r="B58" i="1" l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<sst xmlns="http://schemas.openxmlformats.org/spreadsheetml/2006/main" count="499" uniqueCount="317">
  <si>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</si>
  <si>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</si>
  <si>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</si>
  <si>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</si>
  <si>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</si>
  <si>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</si>
  <si>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</si>
  <si>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</si>
  <si>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</si>
  <si>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Diode</t>
  </si>
  <si>
    <t>TVS Diode</t>
  </si>
  <si>
    <t>Terminal Block</t>
  </si>
  <si>
    <t>Male Header</t>
  </si>
  <si>
    <t>Female Header</t>
  </si>
  <si>
    <t>Fuse Holder</t>
  </si>
  <si>
    <t>Wire To Board Connector</t>
  </si>
  <si>
    <t>RELAY</t>
  </si>
  <si>
    <t>LED</t>
  </si>
  <si>
    <t>TRIAC</t>
  </si>
  <si>
    <t>Transistor</t>
  </si>
  <si>
    <t>Through Hole Resistor</t>
  </si>
  <si>
    <t>Resistor</t>
  </si>
  <si>
    <t>Varistor</t>
  </si>
  <si>
    <t>DIP Switch</t>
  </si>
  <si>
    <t>Transformer</t>
  </si>
  <si>
    <t>Optocoupler</t>
  </si>
  <si>
    <t>IC</t>
  </si>
  <si>
    <t>Regulator</t>
  </si>
  <si>
    <t>Potentiometer</t>
  </si>
  <si>
    <t>Designator</t>
  </si>
  <si>
    <t>C2</t>
  </si>
  <si>
    <t>C3, C4, C8, C10, C20</t>
  </si>
  <si>
    <t>C5</t>
  </si>
  <si>
    <t>C6, C7, C12</t>
  </si>
  <si>
    <t>C9</t>
  </si>
  <si>
    <t>C11</t>
  </si>
  <si>
    <t>C13, C14, C15, C16, C17, C18</t>
  </si>
  <si>
    <t>C19</t>
  </si>
  <si>
    <t>D1, D2, D3, D8, D9, D10, D11, D12, D13, D14, D#2, D#3, D#4, D#5, D#6, D#7, D#8, D#9</t>
  </si>
  <si>
    <t>D4, D5, D6</t>
  </si>
  <si>
    <t>D7</t>
  </si>
  <si>
    <t>J1</t>
  </si>
  <si>
    <t>J2</t>
  </si>
  <si>
    <t>J3, J7</t>
  </si>
  <si>
    <t>J4</t>
  </si>
  <si>
    <t>J5</t>
  </si>
  <si>
    <t>J8</t>
  </si>
  <si>
    <t>J10</t>
  </si>
  <si>
    <t>J#1, J#2</t>
  </si>
  <si>
    <t>J#4</t>
  </si>
  <si>
    <t>J#5</t>
  </si>
  <si>
    <t>K1, K2, K3</t>
  </si>
  <si>
    <t>LED15, LED16, LED17, LED18, LED19, LED20, LED21, LED22</t>
  </si>
  <si>
    <t>Q1, Q2</t>
  </si>
  <si>
    <t>Q4, Q5, Q6, Q7</t>
  </si>
  <si>
    <t>R1, R2, R5, R6</t>
  </si>
  <si>
    <t>R3, R4</t>
  </si>
  <si>
    <t>R7, R8, R9</t>
  </si>
  <si>
    <t>R10, R33, R34, R35, R36, R38</t>
  </si>
  <si>
    <t>R11, R16, R25, R29</t>
  </si>
  <si>
    <t>R12, R28</t>
  </si>
  <si>
    <t>R13, R17, R21</t>
  </si>
  <si>
    <t>R14, R15, R18, R19, R20, R22</t>
  </si>
  <si>
    <t>R23, R24</t>
  </si>
  <si>
    <t>R26, R27, R31</t>
  </si>
  <si>
    <t>R30</t>
  </si>
  <si>
    <t>R32</t>
  </si>
  <si>
    <t>R39, R40, R41, R42, R43, R44</t>
  </si>
  <si>
    <t>RV1</t>
  </si>
  <si>
    <t>SW1, SW2</t>
  </si>
  <si>
    <t>SW3, SW4</t>
  </si>
  <si>
    <t>T1</t>
  </si>
  <si>
    <t>U1</t>
  </si>
  <si>
    <t>U2</t>
  </si>
  <si>
    <t>U3</t>
  </si>
  <si>
    <t>U4</t>
  </si>
  <si>
    <t>U5</t>
  </si>
  <si>
    <t>U6</t>
  </si>
  <si>
    <t>VR1, VR2</t>
  </si>
  <si>
    <t>Description</t>
  </si>
  <si>
    <t>CAP CER 2200PF 760VAC Y5U RADIAL</t>
  </si>
  <si>
    <t>CAP CER 0.1UF 50V X7R 0603</t>
  </si>
  <si>
    <t>CAP ALUM 470UF 20% 35V RADIAL</t>
  </si>
  <si>
    <t>CAP CER 10000PF 50V X8R 0603</t>
  </si>
  <si>
    <t>CAP CER 1000PF 25V X7R 0603</t>
  </si>
  <si>
    <t>CAP ALUM 4.7UF 20% 100V RADIAL</t>
  </si>
  <si>
    <t>CAP CER 0.22UF 100V X7R 0805</t>
  </si>
  <si>
    <t>CAP FILM 0.1UF 10% 800VDC RADIAL</t>
  </si>
  <si>
    <t>DIODE GP 100V 300MA SOD123 10K</t>
  </si>
  <si>
    <t>DIODE GEN PURP 1KV 1A DO41</t>
  </si>
  <si>
    <t>TVS DIODE 6.4VWM 11.3VC DO204AC</t>
  </si>
  <si>
    <t>320V 20A 8 Straight pin -40℃~+105℃ 1 5.08mm 1x8P Green Board Edge/Receptacle-Close Plugin,P=5.08mm Pluggable System Terminal Block ROHS</t>
  </si>
  <si>
    <t>320V 20A 12 Straight pin -40℃~+105℃ 1 5.08mm 1x12P Green Board Edge/Receptacle-Close Plugin,P=5.08mm Pluggable System Terminal Block ROHS</t>
  </si>
  <si>
    <t>CONN HEADER VERT 3POS 2.54MM</t>
  </si>
  <si>
    <t>CONN RCPT 2POS 0.1 GOLD PCB</t>
  </si>
  <si>
    <t>CONN RCPT 4POS 0.1 GOLD PCB</t>
  </si>
  <si>
    <t>Fuse Holder 6.3A 250VDC/250VAC Through Hole Pin</t>
  </si>
  <si>
    <t>2.54mm Plugin Straight 1x5P 5 Plugin,P=2.54mm Female Headers ROHS</t>
  </si>
  <si>
    <t>1x2P 18A -40℃~+105℃ 250V Black 12~30 Straight pin 5.08mm 2.5 1 2 Plugin,P=5.08mm Screw terminal ROHS</t>
  </si>
  <si>
    <t>1x4P 1 2.54mm Male pin 4 -25℃~+85℃ 3A Straight Plugin,P=2.54mm Wire To Board / Wire To Wire Connector ROHS</t>
  </si>
  <si>
    <t>RELAY GEN PURPOSE SPST 23A 12V</t>
  </si>
  <si>
    <t>blue 0603 Light Emitting Diodes (LED) ROHS</t>
  </si>
  <si>
    <t>TRIAC Standard 600V 16A Through Hole TO-220AB</t>
  </si>
  <si>
    <t>45V 300mW 100@100mA,1V 500mA NPN SOT-23 Bipolar Transistors - BJT ROHS</t>
  </si>
  <si>
    <t>Metal Oxide Resistors 390Ω 1W ±350ppm/℃ ±5% Plugin Through Hole Resistors ROHS</t>
  </si>
  <si>
    <t>Metal Film Resistors 0Ω 500mW Plugin Through Hole Resistors ROHS</t>
  </si>
  <si>
    <t>RES SMD 1K OHM 1% 1/10W 0603</t>
  </si>
  <si>
    <t>RES SMD 1.5K OHM 1% 1/10W 0603</t>
  </si>
  <si>
    <t>RES SMD 100K OHM 1% 1/10W 0603</t>
  </si>
  <si>
    <t>RES SMD 33K OHM 5% 1/10W 0603</t>
  </si>
  <si>
    <t>RES SMD 15K OHM 1% 1/10W 0603</t>
  </si>
  <si>
    <t>RES SMD 3.3K OHM 1% 1/10W 0603</t>
  </si>
  <si>
    <t>RES SMD 220 OHM 1% 1/10W 0603</t>
  </si>
  <si>
    <t>RES 10K OHM 1% 1/10W 0603</t>
  </si>
  <si>
    <t>RES SMD 8.2K OHM 1% 1/10W 0603</t>
  </si>
  <si>
    <t>RES SMD 150 OHM 1% 1/10W 0603</t>
  </si>
  <si>
    <t>RES SMD 100 OHM 1% 1/10W 0603</t>
  </si>
  <si>
    <t>710V 350V 275V 387V~473V Plugin Varistors ROHS</t>
  </si>
  <si>
    <t>4Bit SPST 24V Red 25mA 3000次 Plugin DIP Switches ROHS</t>
  </si>
  <si>
    <t>3mm 2mm Round Button 50mA Top3.65mm SPST 12V SMD Tactile Switches</t>
  </si>
  <si>
    <t>PWR XFMR TORO 7VA TH</t>
  </si>
  <si>
    <t>OPTOISOLATOR 5KV TRIAC 6DIP</t>
  </si>
  <si>
    <t>IC MCU 8BIT 14KB FLASH 28SSOP</t>
  </si>
  <si>
    <t>IC EEPROM 16KBIT I2C 1MHZ 8SOIC</t>
  </si>
  <si>
    <t>Multiplexer 1-Element CMOS 3-ST 8-IN 16-Pin SOIC Tube</t>
  </si>
  <si>
    <t>IC REG LINEAR 5V 1.5A TO220AB</t>
  </si>
  <si>
    <t>POT 100K OHM LINEAR</t>
  </si>
  <si>
    <t>Footprint</t>
  </si>
  <si>
    <t>AY1222M47Y5UC63L0</t>
  </si>
  <si>
    <t>Cap-0603</t>
  </si>
  <si>
    <t>ELXZ350ELL471MJ20S</t>
  </si>
  <si>
    <t>Cap-0805</t>
  </si>
  <si>
    <t>R53BI31005000K</t>
  </si>
  <si>
    <t>SOD-123</t>
  </si>
  <si>
    <t>DO-41</t>
  </si>
  <si>
    <t>DO-15</t>
  </si>
  <si>
    <t>DB2EVC-5.08-8P-GN</t>
  </si>
  <si>
    <t>DB2EVC-5.08-12P-GN</t>
  </si>
  <si>
    <t>HDR1X3_</t>
  </si>
  <si>
    <t>HDR1X2 (Female)</t>
  </si>
  <si>
    <t>HDR1X4 Female</t>
  </si>
  <si>
    <t>0PTF0078P</t>
  </si>
  <si>
    <t>HDR 1x5 Female</t>
  </si>
  <si>
    <t>DB128L-5.08-2P-BK-S</t>
  </si>
  <si>
    <t>M2510V-04P</t>
  </si>
  <si>
    <t>G2RL-1A-E2-CV-HA DC12</t>
  </si>
  <si>
    <t>LED-0603</t>
  </si>
  <si>
    <t>TO-220</t>
  </si>
  <si>
    <t>SOT-23</t>
  </si>
  <si>
    <t>TH390R</t>
  </si>
  <si>
    <t>MFR50S-T-52-0R</t>
  </si>
  <si>
    <t>Res-0603</t>
  </si>
  <si>
    <t>14D431K</t>
  </si>
  <si>
    <t>L01-6332</t>
  </si>
  <si>
    <t>6 Pin Dip</t>
  </si>
  <si>
    <t>SSOP-28-208mil</t>
  </si>
  <si>
    <t>SOIC-8(0.154", 3.90mm Width)</t>
  </si>
  <si>
    <t>SOIC-16</t>
  </si>
  <si>
    <t>PTC10LV10-104A2020</t>
  </si>
  <si>
    <t>Manufacturer Part Number</t>
  </si>
  <si>
    <t>C50950</t>
  </si>
  <si>
    <t>NCD0603B3</t>
  </si>
  <si>
    <t>BTA16-600BRG</t>
  </si>
  <si>
    <t>BC817 6B 160-400</t>
  </si>
  <si>
    <t>208-4</t>
  </si>
  <si>
    <t>TS-1185EC-C-D-B</t>
  </si>
  <si>
    <t>MOC3022</t>
  </si>
  <si>
    <t>MOC3063</t>
  </si>
  <si>
    <t>CD4512BM</t>
  </si>
  <si>
    <t>L7805ABV</t>
  </si>
  <si>
    <t>Manufacturer</t>
  </si>
  <si>
    <t>DIBO</t>
  </si>
  <si>
    <t>Littelfuse</t>
  </si>
  <si>
    <t>BOOMELE</t>
  </si>
  <si>
    <t>XFCN</t>
  </si>
  <si>
    <t>Foshan NationStar Optoelectronics</t>
  </si>
  <si>
    <t>STMicroelectronics</t>
  </si>
  <si>
    <t>DOWO</t>
  </si>
  <si>
    <t>YAGEO</t>
  </si>
  <si>
    <t>Hongzhi Elec</t>
  </si>
  <si>
    <t>kangshen</t>
  </si>
  <si>
    <t>XKB</t>
  </si>
  <si>
    <t>Vishay Lite-On</t>
  </si>
  <si>
    <t>Texas Instruments</t>
  </si>
  <si>
    <t>Amphenol Piher Sensing Systems</t>
  </si>
  <si>
    <t>LCSC Part Number</t>
  </si>
  <si>
    <t>C1620433</t>
  </si>
  <si>
    <t>C307348</t>
  </si>
  <si>
    <t>C1669323</t>
  </si>
  <si>
    <t>C710687</t>
  </si>
  <si>
    <t>C726558</t>
  </si>
  <si>
    <t>C2880358</t>
  </si>
  <si>
    <t>C395784</t>
  </si>
  <si>
    <t>C395823</t>
  </si>
  <si>
    <t>C168677</t>
  </si>
  <si>
    <t>C2760101</t>
  </si>
  <si>
    <t>C430601</t>
  </si>
  <si>
    <t>C2764792</t>
  </si>
  <si>
    <t>C158101</t>
  </si>
  <si>
    <t>C371086</t>
  </si>
  <si>
    <t>C173163</t>
  </si>
  <si>
    <t>C844920</t>
  </si>
  <si>
    <t>C844921</t>
  </si>
  <si>
    <t>C844916</t>
  </si>
  <si>
    <t>C4342762</t>
  </si>
  <si>
    <t>C844742</t>
  </si>
  <si>
    <t>C844928</t>
  </si>
  <si>
    <t>C844757</t>
  </si>
  <si>
    <t>C362180</t>
  </si>
  <si>
    <t>C844809</t>
  </si>
  <si>
    <t>C844741</t>
  </si>
  <si>
    <t>C844513</t>
  </si>
  <si>
    <t>C137830</t>
  </si>
  <si>
    <t>C5123702</t>
  </si>
  <si>
    <t>C318893</t>
  </si>
  <si>
    <t>C115466</t>
  </si>
  <si>
    <t>C78487</t>
  </si>
  <si>
    <t>C1547339</t>
  </si>
  <si>
    <t>C16807</t>
  </si>
  <si>
    <t>2.2nF</t>
  </si>
  <si>
    <t>0.1uF</t>
  </si>
  <si>
    <t>470uF</t>
  </si>
  <si>
    <t>10nF</t>
  </si>
  <si>
    <t>1000pF</t>
  </si>
  <si>
    <t>4.7uF</t>
  </si>
  <si>
    <t>220nF</t>
  </si>
  <si>
    <t>0.1uF/350V</t>
  </si>
  <si>
    <t>A1N4007G-G</t>
  </si>
  <si>
    <t>P6KE7.5AHE3/54</t>
  </si>
  <si>
    <t>68000-103HLF</t>
  </si>
  <si>
    <t>BCS-102-F-S-TE</t>
  </si>
  <si>
    <t>BCS-104-F-S-TE</t>
  </si>
  <si>
    <t>DNP</t>
  </si>
  <si>
    <t>390R</t>
  </si>
  <si>
    <t>0R</t>
  </si>
  <si>
    <t>1K</t>
  </si>
  <si>
    <t>1.5K</t>
  </si>
  <si>
    <t>100K</t>
  </si>
  <si>
    <t>33K</t>
  </si>
  <si>
    <t>15K</t>
  </si>
  <si>
    <t>3.3K</t>
  </si>
  <si>
    <t>220R</t>
  </si>
  <si>
    <t>10K</t>
  </si>
  <si>
    <t>8.2K</t>
  </si>
  <si>
    <t>150R</t>
  </si>
  <si>
    <t>100R</t>
  </si>
  <si>
    <t>PIC16F886-E/SS</t>
  </si>
  <si>
    <t>24FC16T-E/SN36KVAO</t>
  </si>
  <si>
    <t>Quantity</t>
  </si>
  <si>
    <t>CL10B104KB8WPNC</t>
  </si>
  <si>
    <t>GCM188R91H103KA37D</t>
  </si>
  <si>
    <t>AC0603KRX7R8BB102</t>
  </si>
  <si>
    <t xml:space="preserve">EEU-FC2A4R7
</t>
  </si>
  <si>
    <t>HMK212B7224KGHT</t>
  </si>
  <si>
    <t xml:space="preserve">1N4148WQ-13-F
</t>
  </si>
  <si>
    <t>Value</t>
  </si>
  <si>
    <t>Links</t>
  </si>
  <si>
    <t>Remarks</t>
  </si>
  <si>
    <t>Bill of Materials for Project [MotorDriver_Board]</t>
  </si>
  <si>
    <t>MotorDriver_Board]</t>
  </si>
  <si>
    <t>FR1/2W-390Ω±5%-2T52</t>
  </si>
  <si>
    <t>VO</t>
  </si>
  <si>
    <t>C601800</t>
  </si>
  <si>
    <t>CRCW06031K00FKEA</t>
  </si>
  <si>
    <t>CRCW06031K50FKEA</t>
  </si>
  <si>
    <t>CRCW0603100KFKEA</t>
  </si>
  <si>
    <t>CRCW060333K0JNEA</t>
  </si>
  <si>
    <t>CRCW060315K0FKEA</t>
  </si>
  <si>
    <t>CRCW06033K30FKEA</t>
  </si>
  <si>
    <t>CRCW0603220RFKEA</t>
  </si>
  <si>
    <t>RK73G1JTTD1002F</t>
  </si>
  <si>
    <t>CRCW06038K20FKEA</t>
  </si>
  <si>
    <t>CRCW0603150RFKEA</t>
  </si>
  <si>
    <t>CRCW0603100RFKEB</t>
  </si>
  <si>
    <t>-</t>
  </si>
  <si>
    <t>Peripheral</t>
  </si>
  <si>
    <t>8 1 3.81mm 1x8P Green Plug P=3.81mm Pluggable System Terminal Block ROHS</t>
  </si>
  <si>
    <t>Custom</t>
  </si>
  <si>
    <t>WJ15EDGK-3.81-8P</t>
  </si>
  <si>
    <t xml:space="preserve">Ningbo </t>
  </si>
  <si>
    <t>C14234</t>
  </si>
  <si>
    <t>LCSC</t>
  </si>
  <si>
    <t>12 1 3.81mm 1x12P Green Plug P=3.81mm Pluggable System Terminal Block ROHS</t>
  </si>
  <si>
    <t>WJ15EDGK-3.81-12P</t>
  </si>
  <si>
    <t>C18980</t>
  </si>
  <si>
    <t>63A Glass Tube Fuse 6.3A 250V - Fuses</t>
  </si>
  <si>
    <t>021806.3HXP</t>
  </si>
  <si>
    <t xml:space="preserve">Littelfuse </t>
  </si>
  <si>
    <t>C3156688</t>
  </si>
  <si>
    <t>Switch</t>
  </si>
  <si>
    <t>Chipsmall</t>
  </si>
  <si>
    <t>Chipmall</t>
  </si>
  <si>
    <t>Omron</t>
  </si>
  <si>
    <t xml:space="preserve">
Vishay Intertech</t>
  </si>
  <si>
    <t xml:space="preserve">Samsung </t>
  </si>
  <si>
    <t>NCC(Nippon Chemi-Con)</t>
  </si>
  <si>
    <t>Murata Electronics</t>
  </si>
  <si>
    <t xml:space="preserve">YAGEO </t>
  </si>
  <si>
    <t xml:space="preserve">
Panasonic</t>
  </si>
  <si>
    <t>Taiyo Yuden</t>
  </si>
  <si>
    <t>KEMET</t>
  </si>
  <si>
    <t>Diodes Incorporated</t>
  </si>
  <si>
    <t>Comchip Technology</t>
  </si>
  <si>
    <t xml:space="preserve">
Vishay </t>
  </si>
  <si>
    <t>Amphenol ICC</t>
  </si>
  <si>
    <t>Samtec</t>
  </si>
  <si>
    <t>KOA Speer Elec</t>
  </si>
  <si>
    <t xml:space="preserve">
Amgis</t>
  </si>
  <si>
    <t xml:space="preserve">
Microchip Technology</t>
  </si>
  <si>
    <t>C9100</t>
  </si>
  <si>
    <t>Chispmall</t>
  </si>
  <si>
    <t>C3151708</t>
  </si>
  <si>
    <t>2 弹簧天线 2.5dBi Vertical 433MHz - Antennas ROHS</t>
  </si>
  <si>
    <t xml:space="preserve">VG433SNX39-6W3
</t>
  </si>
  <si>
    <t xml:space="preserve">Vollgo </t>
  </si>
  <si>
    <t>C718844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</si>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</sst>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wrapText="1"/>
    </xf>
    <xf numFmtId="0" fontId="23" fillId="2" borderId="16" xfId="1" applyFill="1" applyBorder="1" applyAlignment="1">
      <alignment horizontal="center" vertical="center" wrapText="1"/>
    </xf>
    <xf numFmtId="0" fontId="22" fillId="0" borderId="0" xfId="0" applyFont="1"/>
    <xf numFmtId="0" fontId="23" fillId="0" borderId="0" xfId="1" applyAlignment="1"/>
    <xf numFmtId="0" fontId="24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2" borderId="17" xfId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10417</xdr:rowOff>
    </xdr:from>
    <xdr:to>
      <xdr:col>12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luggable-System-Terminal-Block_DIBO-DB2EVC-5-08-8P-GN_C395784.html" TargetMode="External"/><Relationship Id="rId18" Type="http://schemas.openxmlformats.org/officeDocument/2006/relationships/hyperlink" Target="https://www.chipsmall.com/Products/BCS-102-F-S-TE_12553941.html" TargetMode="External"/><Relationship Id="rId26" Type="http://schemas.openxmlformats.org/officeDocument/2006/relationships/hyperlink" Target="https://www.lcsc.com/product-detail/Through-Hole-Resistors_YAGEO-MFR50S-T-52-0R_C173163.html" TargetMode="External"/><Relationship Id="rId39" Type="http://schemas.openxmlformats.org/officeDocument/2006/relationships/hyperlink" Target="https://www.lcsc.com/product-detail/DIP-Switches_kangshen-DS-04-R-T_C5123702.html" TargetMode="External"/><Relationship Id="rId21" Type="http://schemas.openxmlformats.org/officeDocument/2006/relationships/hyperlink" Target="https://www.lcsc.com/product-detail/Wire-To-Board-Wire-To-Wire-Connector_XFCN-M2510V-04P_C2764792.html" TargetMode="External"/><Relationship Id="rId34" Type="http://schemas.openxmlformats.org/officeDocument/2006/relationships/hyperlink" Target="https://www.lcsc.com/product-detail/Chip-Resistor-Surface-Mount_Vishay-Intertech-CRCW0603220RFKEA_C844757.html" TargetMode="External"/><Relationship Id="rId42" Type="http://schemas.openxmlformats.org/officeDocument/2006/relationships/hyperlink" Target="https://www.chipsmall.com/Products/PIC16F886-E-SS_13254554.html" TargetMode="External"/><Relationship Id="rId47" Type="http://schemas.openxmlformats.org/officeDocument/2006/relationships/hyperlink" Target="https://www.lcsc.com/product-detail/Varistors_Hongzhi-Elec-14D431K_C137830.html" TargetMode="External"/><Relationship Id="rId50" Type="http://schemas.openxmlformats.org/officeDocument/2006/relationships/hyperlink" Target="https://www.chipsmall.com/Products/L01-6332_10557970.html" TargetMode="External"/><Relationship Id="rId7" Type="http://schemas.openxmlformats.org/officeDocument/2006/relationships/hyperlink" Target="https://www.lcsc.com/product-detail/Multilayer-Ceramic-Capacitors-MLCC-SMD-SMT_Taiyo-Yuden-HMK212B7224KGHT_C2880358.html" TargetMode="External"/><Relationship Id="rId2" Type="http://schemas.openxmlformats.org/officeDocument/2006/relationships/hyperlink" Target="https://www.lcsc.com/product-detail/Pluggable-System-Terminal-Block_Ningbo-Kangnex-Elec-WJ15EDGK-3-81-12P_C18980.html" TargetMode="External"/><Relationship Id="rId16" Type="http://schemas.openxmlformats.org/officeDocument/2006/relationships/hyperlink" Target="https://www.chipsmall.com/Products/BCS-102-F-S-TE_12553941.html" TargetMode="External"/><Relationship Id="rId29" Type="http://schemas.openxmlformats.org/officeDocument/2006/relationships/hyperlink" Target="https://www.lcsc.com/product-detail/Chip-Resistor-Surface-Mount_Vishay-Intertech-CRCW06031K50FKEA_C844921.html" TargetMode="External"/><Relationship Id="rId11" Type="http://schemas.openxmlformats.org/officeDocument/2006/relationships/hyperlink" Target="https://www.chipsmall.com/Products/EEU-FC2A4R7_11561932.html" TargetMode="External"/><Relationship Id="rId24" Type="http://schemas.openxmlformats.org/officeDocument/2006/relationships/hyperlink" Target="https://www.lcsc.com/product-detail/Bipolar-Transistors-BJT_DOWO-BC817-6B-160-400_C371086.html" TargetMode="External"/><Relationship Id="rId32" Type="http://schemas.openxmlformats.org/officeDocument/2006/relationships/hyperlink" Target="https://www.lcsc.com/product-detail/Chip-Resistor-Surface-Mount_Vishay-Intertech-CRCW060315K0FKEA_C844742.html" TargetMode="External"/><Relationship Id="rId37" Type="http://schemas.openxmlformats.org/officeDocument/2006/relationships/hyperlink" Target="https://www.lcsc.com/product-detail/Chip-Resistor-Surface-Mount_Vishay-Intertech-CRCW0603150RFKEA_C844741.html" TargetMode="External"/><Relationship Id="rId40" Type="http://schemas.openxmlformats.org/officeDocument/2006/relationships/hyperlink" Target="https://www.lcsc.com/product-detail/Tactile-Switches_XKB-Connectivity-TS-1185EC-C-D-B_C318893.html" TargetMode="External"/><Relationship Id="rId45" Type="http://schemas.openxmlformats.org/officeDocument/2006/relationships/hyperlink" Target="https://www.lcsc.com/product-detail/Signal-Switches-Encoders-Decoders-Multiplexers_Texas-Instruments-CD4512BM_C1547339.html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Murata-Electronics-GCM188R91H103KA37D_C710687.html" TargetMode="External"/><Relationship Id="rId10" Type="http://schemas.openxmlformats.org/officeDocument/2006/relationships/hyperlink" Target="https://www.lcsc.com/product-detail/Aluminum-Electrolytic-Capacitors-Leaded_NCC-Nippon-Chemi-Con-ELXZ350ELL471MJ20S_C1669323.html" TargetMode="External"/><Relationship Id="rId19" Type="http://schemas.openxmlformats.org/officeDocument/2006/relationships/hyperlink" Target="https://www.lcsc.com/product-detail/Fuse-Holders_Littelfuse-0PTF0078P_C2760101.html" TargetMode="External"/><Relationship Id="rId31" Type="http://schemas.openxmlformats.org/officeDocument/2006/relationships/hyperlink" Target="https://www.lcsc.com/product-detail/Chip-Resistor-Surface-Mount_Vishay-Intertech-CRCW060333K0JNEA_C4342762.html" TargetMode="External"/><Relationship Id="rId44" Type="http://schemas.openxmlformats.org/officeDocument/2006/relationships/hyperlink" Target="https://www.lcsc.com/product-detail/Optocouplers-Thyristor-Signal-Output_Lite-On-MOC3063_C78487.html" TargetMode="External"/><Relationship Id="rId52" Type="http://schemas.openxmlformats.org/officeDocument/2006/relationships/hyperlink" Target="https://www.lcsc.com/product-detail/Antennas_Vollgo-VG433SNX39-6W3_C718844.html" TargetMode="External"/><Relationship Id="rId4" Type="http://schemas.openxmlformats.org/officeDocument/2006/relationships/hyperlink" Target="https://www.lcsc.com/product-detail/Multilayer-Ceramic-Capacitors-MLCC-SMD-SMT_Samsung-Electro-Mechanics-CL10B104KB8WPNC_C307348.html" TargetMode="External"/><Relationship Id="rId9" Type="http://schemas.openxmlformats.org/officeDocument/2006/relationships/hyperlink" Target="https://www.chipsmall.com/So/R53BI31005000K.html" TargetMode="External"/><Relationship Id="rId14" Type="http://schemas.openxmlformats.org/officeDocument/2006/relationships/hyperlink" Target="https://www.lcsc.com/product-detail/Pluggable-System-Terminal-Block_DIBO-DB2EVC-5-08-12P-GN_C395823.html" TargetMode="External"/><Relationship Id="rId22" Type="http://schemas.openxmlformats.org/officeDocument/2006/relationships/hyperlink" Target="https://www.chipsmall.com/Products/G2RL-1A-E2-CV-HA-DC12_30585202.html" TargetMode="External"/><Relationship Id="rId27" Type="http://schemas.openxmlformats.org/officeDocument/2006/relationships/hyperlink" Target="https://www.lcsc.com/product-detail/TRIACs_STMicroelectronics-BTA16-600BRG_C9100.html" TargetMode="External"/><Relationship Id="rId30" Type="http://schemas.openxmlformats.org/officeDocument/2006/relationships/hyperlink" Target="https://www.lcsc.com/product-detail/Chip-Resistor-Surface-Mount_Vishay-Intertech-CRCW0603100KFKEA_C844916.html" TargetMode="External"/><Relationship Id="rId35" Type="http://schemas.openxmlformats.org/officeDocument/2006/relationships/hyperlink" Target="https://www.lcsc.com/product-detail/Chip-Resistor-Surface-Mount_KOA-Speer-Elec-RK73G1JTTD1002F_C362180.html" TargetMode="External"/><Relationship Id="rId43" Type="http://schemas.openxmlformats.org/officeDocument/2006/relationships/hyperlink" Target="https://www.lcsc.com/product-detail/Optocouplers-Thyristor-Signal-Output_Lite-On-MOC3022_C115466.html" TargetMode="External"/><Relationship Id="rId48" Type="http://schemas.openxmlformats.org/officeDocument/2006/relationships/hyperlink" Target="https://www.chipsmall.com/Products/PTC10LV10-104A2020_10465997.html" TargetMode="External"/><Relationship Id="rId8" Type="http://schemas.openxmlformats.org/officeDocument/2006/relationships/hyperlink" Target="https://www.lcsc.com/product-detail/Suppression-Capacitors_Vishay-Intertech-AY1222M47Y5UC63L0_C1620433.html" TargetMode="External"/><Relationship Id="rId51" Type="http://schemas.openxmlformats.org/officeDocument/2006/relationships/hyperlink" Target="https://www.chipsmall.com/Products/A1N4007G-G_12909469.html" TargetMode="External"/><Relationship Id="rId3" Type="http://schemas.openxmlformats.org/officeDocument/2006/relationships/hyperlink" Target="https://www.lcsc.com/product-detail/Fuses_Littelfuse-021806-3HXP_C3156688.html" TargetMode="External"/><Relationship Id="rId12" Type="http://schemas.openxmlformats.org/officeDocument/2006/relationships/hyperlink" Target="https://www.chipsmall.com/Products/P6KE7-5AHE3-54_30477039.html" TargetMode="External"/><Relationship Id="rId17" Type="http://schemas.openxmlformats.org/officeDocument/2006/relationships/hyperlink" Target="https://www.chipsmall.com/Products/BCS-104-F-S-TE_12591185.html" TargetMode="External"/><Relationship Id="rId25" Type="http://schemas.openxmlformats.org/officeDocument/2006/relationships/hyperlink" Target="https://www.lcsc.com/product-detail/Through-Hole-Resistors_VO-FR1-2W-390-5-2T52_C601800.html" TargetMode="External"/><Relationship Id="rId33" Type="http://schemas.openxmlformats.org/officeDocument/2006/relationships/hyperlink" Target="https://www.lcsc.com/product-detail/Chip-Resistor-Surface-Mount_Vishay-Intertech-CRCW06033K30FKEA_C844928.html" TargetMode="External"/><Relationship Id="rId38" Type="http://schemas.openxmlformats.org/officeDocument/2006/relationships/hyperlink" Target="https://www.lcsc.com/product-detail/Chip-Resistor-Surface-Mount_Vishay-Intertech-CRCW0603100RFKEB_C844513.html" TargetMode="External"/><Relationship Id="rId46" Type="http://schemas.openxmlformats.org/officeDocument/2006/relationships/hyperlink" Target="https://www.lcsc.com/product-detail/Linear-Voltage-Regulators-LDO_STMicroelectronics-L7805ABV_C16807.html" TargetMode="External"/><Relationship Id="rId20" Type="http://schemas.openxmlformats.org/officeDocument/2006/relationships/hyperlink" Target="https://www.lcsc.com/product-detail/Screw-terminal_DIBO-DB128L-5-08-2P-BK-S_C430601.html" TargetMode="External"/><Relationship Id="rId41" Type="http://schemas.openxmlformats.org/officeDocument/2006/relationships/hyperlink" Target="https://www.chipsmall.com/Products/24FC16T-E-SN36KVAO_34630487.html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lcsc.com/product-detail/Pluggable-System-Terminal-Block_Ningbo-Kangnex-Elec-WJ15EDGK-3-81-8P_C14234.html" TargetMode="External"/><Relationship Id="rId6" Type="http://schemas.openxmlformats.org/officeDocument/2006/relationships/hyperlink" Target="https://www.lcsc.com/product-detail/Multilayer-Ceramic-Capacitors-MLCC-SMD-SMT_YAGEO-AC0603KRX7R8BB102_C726558.html" TargetMode="External"/><Relationship Id="rId15" Type="http://schemas.openxmlformats.org/officeDocument/2006/relationships/hyperlink" Target="https://www.lcsc.com/product-detail/Pin-Headers_Amphenol-ICC-68000-103HLF_C168677.html" TargetMode="External"/><Relationship Id="rId23" Type="http://schemas.openxmlformats.org/officeDocument/2006/relationships/hyperlink" Target="https://www.chipsmall.com/Products/CSL0902BT1C_31569271.html" TargetMode="External"/><Relationship Id="rId28" Type="http://schemas.openxmlformats.org/officeDocument/2006/relationships/hyperlink" Target="https://www.lcsc.com/product-detail/Chip-Resistor-Surface-Mount_Vishay-Intertech-CRCW06031K00FKEA_C844920.html" TargetMode="External"/><Relationship Id="rId36" Type="http://schemas.openxmlformats.org/officeDocument/2006/relationships/hyperlink" Target="https://www.lcsc.com/product-detail/Chip-Resistor-Surface-Mount_Vishay-Intertech-CRCW06038K20FKEA_C844809.html" TargetMode="External"/><Relationship Id="rId49" Type="http://schemas.openxmlformats.org/officeDocument/2006/relationships/hyperlink" Target="https://www.lcsc.com/product-detail/Switching-Diode_Diodes-Incorporated-1N4148WQ-13-F_C31517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4"/>
  <sheetViews>
    <sheetView tabSelected="1" topLeftCell="A13" workbookViewId="0">
      <selection activeCell="F72" sqref="F7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17" bestFit="1" customWidth="1"/>
    <col min="10" max="10" width="9.28515625" bestFit="1" customWidth="1"/>
    <col min="11" max="11" width="8.7109375" bestFit="1" customWidth="1"/>
    <col min="12" max="12" width="13.42578125" style="67" bestFit="1" customWidth="1"/>
    <col min="13" max="13" width="26.85546875" bestFit="1" customWidth="1"/>
  </cols>
  <sheetData>
    <row r="1" spans="1:13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71"/>
      <c r="K1" s="71"/>
      <c r="L1" s="71"/>
      <c r="M1" s="72"/>
    </row>
    <row r="2" spans="1:13" ht="32.25" thickBot="1" x14ac:dyDescent="0.3">
      <c r="A2" s="1"/>
      <c r="B2" s="21"/>
      <c r="C2" s="31"/>
      <c r="D2" s="11" t="s">
        <v>0</v>
      </c>
      <c r="E2" s="11"/>
      <c r="F2" s="51" t="s">
        <v>258</v>
      </c>
      <c r="G2" s="12"/>
      <c r="H2" s="4"/>
      <c r="I2" s="4"/>
      <c r="J2" s="4"/>
      <c r="K2" s="4"/>
      <c r="L2" s="63"/>
      <c r="M2" s="3"/>
    </row>
    <row r="3" spans="1:13" x14ac:dyDescent="0.25">
      <c r="A3" s="1"/>
      <c r="B3" s="22"/>
      <c r="C3" s="32"/>
      <c r="D3" s="13" t="s">
        <v>1</v>
      </c>
      <c r="E3" s="13"/>
      <c r="F3" s="52" t="s">
        <v>259</v>
      </c>
      <c r="G3" s="13"/>
      <c r="H3" s="5"/>
      <c r="I3" s="5"/>
      <c r="J3" s="5"/>
      <c r="K3" s="5"/>
      <c r="L3" s="64"/>
      <c r="M3" s="73"/>
    </row>
    <row r="4" spans="1:13" x14ac:dyDescent="0.25">
      <c r="A4" s="1"/>
      <c r="B4" s="22"/>
      <c r="C4" s="32"/>
      <c r="D4" s="13" t="s">
        <v>2</v>
      </c>
      <c r="E4" s="13"/>
      <c r="F4" s="52" t="s">
        <v>259</v>
      </c>
      <c r="G4" s="14"/>
      <c r="H4" s="7"/>
      <c r="I4" s="7"/>
      <c r="J4" s="7"/>
      <c r="K4" s="6"/>
      <c r="L4" s="65"/>
      <c r="M4" s="74"/>
    </row>
    <row r="5" spans="1:13" x14ac:dyDescent="0.25">
      <c r="A5" s="1"/>
      <c r="B5" s="22"/>
      <c r="C5" s="32"/>
      <c r="D5" s="13" t="s">
        <v>3</v>
      </c>
      <c r="E5" s="13"/>
      <c r="F5" s="53" t="s">
        <v>5</v>
      </c>
      <c r="G5" s="15"/>
      <c r="H5" s="6"/>
      <c r="I5" s="6"/>
      <c r="J5" s="6"/>
      <c r="K5" s="6"/>
      <c r="L5" s="65"/>
      <c r="M5" s="74"/>
    </row>
    <row r="6" spans="1:13" x14ac:dyDescent="0.25">
      <c r="A6" s="1"/>
      <c r="B6" s="23"/>
      <c r="C6" s="33"/>
      <c r="D6" s="16"/>
      <c r="E6" s="16"/>
      <c r="F6" s="17"/>
      <c r="G6" s="15"/>
      <c r="H6" s="6"/>
      <c r="I6" s="6"/>
      <c r="J6" s="6"/>
      <c r="K6" s="6"/>
      <c r="L6" s="65"/>
      <c r="M6" s="74"/>
    </row>
    <row r="7" spans="1:13" x14ac:dyDescent="0.25">
      <c r="A7" s="1"/>
      <c r="B7" s="24"/>
      <c r="C7" s="34"/>
      <c r="D7" s="18"/>
      <c r="E7" s="18"/>
      <c r="F7" s="19"/>
      <c r="G7" s="18"/>
      <c r="H7" s="8"/>
      <c r="I7" s="8"/>
      <c r="J7" s="8"/>
      <c r="K7" s="8"/>
      <c r="L7" s="66"/>
      <c r="M7" s="74"/>
    </row>
    <row r="8" spans="1:13" ht="15.75" thickBot="1" x14ac:dyDescent="0.3">
      <c r="A8" s="1"/>
      <c r="B8" s="27"/>
      <c r="C8" s="35"/>
      <c r="D8" s="28"/>
      <c r="E8" s="28"/>
      <c r="F8" s="29"/>
      <c r="G8" s="18"/>
      <c r="H8" s="8"/>
      <c r="I8" s="8"/>
      <c r="J8" s="8"/>
      <c r="K8" s="8"/>
      <c r="L8" s="66"/>
      <c r="M8" s="74"/>
    </row>
    <row r="9" spans="1:13" ht="15.75" thickBot="1" x14ac:dyDescent="0.3">
      <c r="A9" s="1"/>
      <c r="B9" s="30" t="s">
        <v>4</v>
      </c>
      <c r="C9" s="30" t="s">
        <v>6</v>
      </c>
      <c r="D9" s="30" t="s">
        <v>29</v>
      </c>
      <c r="E9" s="30" t="s">
        <v>79</v>
      </c>
      <c r="F9" s="30" t="s">
        <v>127</v>
      </c>
      <c r="G9" s="30" t="s">
        <v>159</v>
      </c>
      <c r="H9" s="30" t="s">
        <v>170</v>
      </c>
      <c r="I9" s="30" t="s">
        <v>185</v>
      </c>
      <c r="J9" s="30" t="s">
        <v>255</v>
      </c>
      <c r="K9" s="30" t="s">
        <v>248</v>
      </c>
      <c r="L9" s="30" t="s">
        <v>256</v>
      </c>
      <c r="M9" s="30" t="s">
        <v>257</v>
      </c>
    </row>
    <row r="10" spans="1:13" x14ac:dyDescent="0.25">
      <c r="A10" s="1"/>
      <c r="B10" s="45">
        <f>ROW(B10) - ROW($B$9)</f>
        <v>1</v>
      </c>
      <c r="C10" s="49" t="s">
        <v>7</v>
      </c>
      <c r="D10" s="37" t="s">
        <v>30</v>
      </c>
      <c r="E10" s="37" t="s">
        <v>80</v>
      </c>
      <c r="F10" s="37" t="s">
        <v>277</v>
      </c>
      <c r="G10" s="37" t="s">
        <v>128</v>
      </c>
      <c r="H10" s="55" t="s">
        <v>293</v>
      </c>
      <c r="I10" s="37" t="s">
        <v>186</v>
      </c>
      <c r="J10" s="37" t="s">
        <v>219</v>
      </c>
      <c r="K10" s="37">
        <v>1</v>
      </c>
      <c r="L10" s="57" t="s">
        <v>281</v>
      </c>
      <c r="M10" s="47"/>
    </row>
    <row r="11" spans="1:13" x14ac:dyDescent="0.25">
      <c r="A11" s="1"/>
      <c r="B11" s="46">
        <f t="shared" ref="B11:B57" si="0">ROW(B11) - ROW($B$9)</f>
        <v>2</v>
      </c>
      <c r="C11" s="50" t="s">
        <v>7</v>
      </c>
      <c r="D11" s="48" t="s">
        <v>31</v>
      </c>
      <c r="E11" s="48" t="s">
        <v>81</v>
      </c>
      <c r="F11" s="48" t="s">
        <v>129</v>
      </c>
      <c r="G11" s="37" t="s">
        <v>249</v>
      </c>
      <c r="H11" s="48" t="s">
        <v>294</v>
      </c>
      <c r="I11" s="48" t="s">
        <v>187</v>
      </c>
      <c r="J11" s="48" t="s">
        <v>220</v>
      </c>
      <c r="K11" s="48">
        <v>5</v>
      </c>
      <c r="L11" s="68" t="s">
        <v>281</v>
      </c>
      <c r="M11" s="48"/>
    </row>
    <row r="12" spans="1:13" x14ac:dyDescent="0.25">
      <c r="A12" s="1"/>
      <c r="B12" s="45">
        <f>ROW(B12) - ROW($B$9)</f>
        <v>3</v>
      </c>
      <c r="C12" s="49" t="s">
        <v>7</v>
      </c>
      <c r="D12" s="37" t="s">
        <v>32</v>
      </c>
      <c r="E12" s="37" t="s">
        <v>82</v>
      </c>
      <c r="F12" s="37" t="s">
        <v>277</v>
      </c>
      <c r="G12" s="37" t="s">
        <v>130</v>
      </c>
      <c r="H12" s="37" t="s">
        <v>295</v>
      </c>
      <c r="I12" s="37" t="s">
        <v>188</v>
      </c>
      <c r="J12" s="37" t="s">
        <v>221</v>
      </c>
      <c r="K12" s="37">
        <v>1</v>
      </c>
      <c r="L12" s="57" t="s">
        <v>281</v>
      </c>
      <c r="M12" s="54"/>
    </row>
    <row r="13" spans="1:13" x14ac:dyDescent="0.25">
      <c r="A13" s="1"/>
      <c r="B13" s="46">
        <f t="shared" si="0"/>
        <v>4</v>
      </c>
      <c r="C13" s="50" t="s">
        <v>7</v>
      </c>
      <c r="D13" s="48" t="s">
        <v>33</v>
      </c>
      <c r="E13" s="48" t="s">
        <v>83</v>
      </c>
      <c r="F13" s="48" t="s">
        <v>129</v>
      </c>
      <c r="G13" s="37" t="s">
        <v>250</v>
      </c>
      <c r="H13" s="48" t="s">
        <v>296</v>
      </c>
      <c r="I13" s="48" t="s">
        <v>189</v>
      </c>
      <c r="J13" s="48" t="s">
        <v>222</v>
      </c>
      <c r="K13" s="48">
        <v>3</v>
      </c>
      <c r="L13" s="68" t="s">
        <v>281</v>
      </c>
      <c r="M13" s="54"/>
    </row>
    <row r="14" spans="1:13" x14ac:dyDescent="0.25">
      <c r="A14" s="1"/>
      <c r="B14" s="45">
        <f>ROW(B14) - ROW($B$9)</f>
        <v>5</v>
      </c>
      <c r="C14" s="49" t="s">
        <v>7</v>
      </c>
      <c r="D14" s="37" t="s">
        <v>34</v>
      </c>
      <c r="E14" s="37" t="s">
        <v>84</v>
      </c>
      <c r="F14" s="37" t="s">
        <v>129</v>
      </c>
      <c r="G14" s="37" t="s">
        <v>251</v>
      </c>
      <c r="H14" s="37" t="s">
        <v>297</v>
      </c>
      <c r="I14" s="37" t="s">
        <v>190</v>
      </c>
      <c r="J14" s="37" t="s">
        <v>223</v>
      </c>
      <c r="K14" s="37">
        <v>1</v>
      </c>
      <c r="L14" s="57" t="s">
        <v>281</v>
      </c>
      <c r="M14" s="54"/>
    </row>
    <row r="15" spans="1:13" x14ac:dyDescent="0.25">
      <c r="A15" s="1"/>
      <c r="B15" s="46">
        <f t="shared" si="0"/>
        <v>6</v>
      </c>
      <c r="C15" s="50" t="s">
        <v>7</v>
      </c>
      <c r="D15" s="48" t="s">
        <v>35</v>
      </c>
      <c r="E15" s="48" t="s">
        <v>85</v>
      </c>
      <c r="F15" s="48" t="s">
        <v>277</v>
      </c>
      <c r="G15" s="55" t="s">
        <v>252</v>
      </c>
      <c r="H15" s="69" t="s">
        <v>298</v>
      </c>
      <c r="I15" s="48" t="s">
        <v>274</v>
      </c>
      <c r="J15" s="48" t="s">
        <v>224</v>
      </c>
      <c r="K15" s="48">
        <v>1</v>
      </c>
      <c r="L15" s="68" t="s">
        <v>290</v>
      </c>
      <c r="M15" s="54"/>
    </row>
    <row r="16" spans="1:13" x14ac:dyDescent="0.25">
      <c r="A16" s="1"/>
      <c r="B16" s="45">
        <f>ROW(B16) - ROW($B$9)</f>
        <v>7</v>
      </c>
      <c r="C16" s="49" t="s">
        <v>7</v>
      </c>
      <c r="D16" s="37" t="s">
        <v>36</v>
      </c>
      <c r="E16" s="37" t="s">
        <v>86</v>
      </c>
      <c r="F16" s="37" t="s">
        <v>131</v>
      </c>
      <c r="G16" s="37" t="s">
        <v>253</v>
      </c>
      <c r="H16" s="37" t="s">
        <v>299</v>
      </c>
      <c r="I16" s="37" t="s">
        <v>191</v>
      </c>
      <c r="J16" s="37" t="s">
        <v>225</v>
      </c>
      <c r="K16" s="37">
        <v>6</v>
      </c>
      <c r="L16" s="57" t="s">
        <v>281</v>
      </c>
      <c r="M16" s="54"/>
    </row>
    <row r="17" spans="1:13" x14ac:dyDescent="0.25">
      <c r="A17" s="1"/>
      <c r="B17" s="46">
        <f t="shared" si="0"/>
        <v>8</v>
      </c>
      <c r="C17" s="50" t="s">
        <v>7</v>
      </c>
      <c r="D17" s="48" t="s">
        <v>37</v>
      </c>
      <c r="E17" s="48" t="s">
        <v>87</v>
      </c>
      <c r="F17" s="48" t="s">
        <v>277</v>
      </c>
      <c r="G17" s="37" t="s">
        <v>132</v>
      </c>
      <c r="H17" s="48" t="s">
        <v>300</v>
      </c>
      <c r="I17" s="48" t="s">
        <v>274</v>
      </c>
      <c r="J17" s="48" t="s">
        <v>226</v>
      </c>
      <c r="K17" s="48">
        <v>1</v>
      </c>
      <c r="L17" s="68" t="s">
        <v>291</v>
      </c>
      <c r="M17" s="54"/>
    </row>
    <row r="18" spans="1:13" ht="36" x14ac:dyDescent="0.25">
      <c r="A18" s="1"/>
      <c r="B18" s="45">
        <f>ROW(B18) - ROW($B$9)</f>
        <v>9</v>
      </c>
      <c r="C18" s="49" t="s">
        <v>8</v>
      </c>
      <c r="D18" s="37" t="s">
        <v>38</v>
      </c>
      <c r="E18" s="37" t="s">
        <v>88</v>
      </c>
      <c r="F18" s="37" t="s">
        <v>133</v>
      </c>
      <c r="G18" s="56" t="s">
        <v>254</v>
      </c>
      <c r="H18" s="37" t="s">
        <v>301</v>
      </c>
      <c r="I18" s="37" t="s">
        <v>311</v>
      </c>
      <c r="J18" s="37" t="s">
        <v>274</v>
      </c>
      <c r="K18" s="37">
        <v>18</v>
      </c>
      <c r="L18" s="68" t="s">
        <v>281</v>
      </c>
      <c r="M18" s="54"/>
    </row>
    <row r="19" spans="1:13" x14ac:dyDescent="0.25">
      <c r="A19" s="1"/>
      <c r="B19" s="46">
        <f t="shared" si="0"/>
        <v>10</v>
      </c>
      <c r="C19" s="50" t="s">
        <v>9</v>
      </c>
      <c r="D19" s="48" t="s">
        <v>39</v>
      </c>
      <c r="E19" s="48" t="s">
        <v>89</v>
      </c>
      <c r="F19" s="48" t="s">
        <v>134</v>
      </c>
      <c r="G19" s="48" t="s">
        <v>227</v>
      </c>
      <c r="H19" s="48" t="s">
        <v>302</v>
      </c>
      <c r="I19" s="48" t="s">
        <v>274</v>
      </c>
      <c r="J19" s="48" t="s">
        <v>274</v>
      </c>
      <c r="K19" s="48">
        <v>3</v>
      </c>
      <c r="L19" s="57" t="s">
        <v>310</v>
      </c>
      <c r="M19" s="54"/>
    </row>
    <row r="20" spans="1:13" x14ac:dyDescent="0.25">
      <c r="A20" s="1"/>
      <c r="B20" s="45">
        <f>ROW(B20) - ROW($B$9)</f>
        <v>11</v>
      </c>
      <c r="C20" s="49" t="s">
        <v>10</v>
      </c>
      <c r="D20" s="37" t="s">
        <v>40</v>
      </c>
      <c r="E20" s="37" t="s">
        <v>90</v>
      </c>
      <c r="F20" s="37" t="s">
        <v>135</v>
      </c>
      <c r="G20" s="37" t="s">
        <v>228</v>
      </c>
      <c r="H20" s="55" t="s">
        <v>303</v>
      </c>
      <c r="I20" s="37" t="s">
        <v>274</v>
      </c>
      <c r="J20" s="48" t="s">
        <v>274</v>
      </c>
      <c r="K20" s="37">
        <v>1</v>
      </c>
      <c r="L20" s="68" t="s">
        <v>290</v>
      </c>
      <c r="M20" s="54"/>
    </row>
    <row r="21" spans="1:13" ht="60" x14ac:dyDescent="0.25">
      <c r="A21" s="1"/>
      <c r="B21" s="46">
        <f t="shared" si="0"/>
        <v>12</v>
      </c>
      <c r="C21" s="50" t="s">
        <v>11</v>
      </c>
      <c r="D21" s="48" t="s">
        <v>41</v>
      </c>
      <c r="E21" s="48" t="s">
        <v>91</v>
      </c>
      <c r="F21" s="48" t="s">
        <v>277</v>
      </c>
      <c r="G21" s="48" t="s">
        <v>136</v>
      </c>
      <c r="H21" s="48" t="s">
        <v>171</v>
      </c>
      <c r="I21" s="48" t="s">
        <v>192</v>
      </c>
      <c r="J21" s="48" t="s">
        <v>274</v>
      </c>
      <c r="K21" s="48">
        <v>1</v>
      </c>
      <c r="L21" s="57" t="s">
        <v>281</v>
      </c>
      <c r="M21" s="54"/>
    </row>
    <row r="22" spans="1:13" ht="60" x14ac:dyDescent="0.25">
      <c r="A22" s="1"/>
      <c r="B22" s="45">
        <f>ROW(B22) - ROW($B$9)</f>
        <v>13</v>
      </c>
      <c r="C22" s="49" t="s">
        <v>11</v>
      </c>
      <c r="D22" s="37" t="s">
        <v>42</v>
      </c>
      <c r="E22" s="37" t="s">
        <v>92</v>
      </c>
      <c r="F22" s="48" t="s">
        <v>277</v>
      </c>
      <c r="G22" s="37" t="s">
        <v>137</v>
      </c>
      <c r="H22" s="37" t="s">
        <v>171</v>
      </c>
      <c r="I22" s="37" t="s">
        <v>193</v>
      </c>
      <c r="J22" s="48" t="s">
        <v>274</v>
      </c>
      <c r="K22" s="37">
        <v>1</v>
      </c>
      <c r="L22" s="68" t="s">
        <v>281</v>
      </c>
      <c r="M22" s="54"/>
    </row>
    <row r="23" spans="1:13" x14ac:dyDescent="0.25">
      <c r="A23" s="1"/>
      <c r="B23" s="46">
        <f t="shared" si="0"/>
        <v>14</v>
      </c>
      <c r="C23" s="50" t="s">
        <v>12</v>
      </c>
      <c r="D23" s="48" t="s">
        <v>43</v>
      </c>
      <c r="E23" s="48" t="s">
        <v>93</v>
      </c>
      <c r="F23" s="48" t="s">
        <v>138</v>
      </c>
      <c r="G23" s="48" t="s">
        <v>229</v>
      </c>
      <c r="H23" s="48" t="s">
        <v>304</v>
      </c>
      <c r="I23" s="48" t="s">
        <v>194</v>
      </c>
      <c r="J23" s="48" t="s">
        <v>274</v>
      </c>
      <c r="K23" s="48">
        <v>2</v>
      </c>
      <c r="L23" s="57" t="s">
        <v>281</v>
      </c>
      <c r="M23" s="54"/>
    </row>
    <row r="24" spans="1:13" x14ac:dyDescent="0.25">
      <c r="A24" s="1"/>
      <c r="B24" s="45">
        <f>ROW(B24) - ROW($B$9)</f>
        <v>15</v>
      </c>
      <c r="C24" s="49" t="s">
        <v>13</v>
      </c>
      <c r="D24" s="37" t="s">
        <v>44</v>
      </c>
      <c r="E24" s="37" t="s">
        <v>94</v>
      </c>
      <c r="F24" s="37" t="s">
        <v>139</v>
      </c>
      <c r="G24" s="37" t="s">
        <v>230</v>
      </c>
      <c r="H24" s="37" t="s">
        <v>305</v>
      </c>
      <c r="I24" s="37" t="s">
        <v>274</v>
      </c>
      <c r="J24" s="48" t="s">
        <v>274</v>
      </c>
      <c r="K24" s="37">
        <v>1</v>
      </c>
      <c r="L24" s="68" t="s">
        <v>290</v>
      </c>
      <c r="M24" s="54"/>
    </row>
    <row r="25" spans="1:13" x14ac:dyDescent="0.25">
      <c r="A25" s="1"/>
      <c r="B25" s="46">
        <f t="shared" si="0"/>
        <v>16</v>
      </c>
      <c r="C25" s="50" t="s">
        <v>13</v>
      </c>
      <c r="D25" s="48" t="s">
        <v>45</v>
      </c>
      <c r="E25" s="48" t="s">
        <v>95</v>
      </c>
      <c r="F25" s="48" t="s">
        <v>140</v>
      </c>
      <c r="G25" s="48" t="s">
        <v>231</v>
      </c>
      <c r="H25" s="37" t="s">
        <v>305</v>
      </c>
      <c r="I25" s="48" t="s">
        <v>274</v>
      </c>
      <c r="J25" s="48" t="s">
        <v>274</v>
      </c>
      <c r="K25" s="48">
        <v>1</v>
      </c>
      <c r="L25" s="57" t="s">
        <v>290</v>
      </c>
      <c r="M25" s="54"/>
    </row>
    <row r="26" spans="1:13" x14ac:dyDescent="0.25">
      <c r="A26" s="1"/>
      <c r="B26" s="45">
        <f>ROW(B26) - ROW($B$9)</f>
        <v>17</v>
      </c>
      <c r="C26" s="60" t="s">
        <v>13</v>
      </c>
      <c r="D26" s="61" t="s">
        <v>46</v>
      </c>
      <c r="E26" s="61" t="s">
        <v>94</v>
      </c>
      <c r="F26" s="61" t="s">
        <v>139</v>
      </c>
      <c r="G26" s="61" t="s">
        <v>230</v>
      </c>
      <c r="H26" s="37" t="s">
        <v>305</v>
      </c>
      <c r="I26" s="61" t="s">
        <v>274</v>
      </c>
      <c r="J26" s="61" t="s">
        <v>232</v>
      </c>
      <c r="K26" s="61">
        <v>1</v>
      </c>
      <c r="L26" s="68" t="s">
        <v>274</v>
      </c>
      <c r="M26" s="62" t="s">
        <v>316</v>
      </c>
    </row>
    <row r="27" spans="1:13" ht="24" x14ac:dyDescent="0.25">
      <c r="A27" s="1"/>
      <c r="B27" s="46">
        <f t="shared" si="0"/>
        <v>18</v>
      </c>
      <c r="C27" s="50" t="s">
        <v>14</v>
      </c>
      <c r="D27" s="48" t="s">
        <v>47</v>
      </c>
      <c r="E27" s="48" t="s">
        <v>96</v>
      </c>
      <c r="F27" s="48" t="s">
        <v>277</v>
      </c>
      <c r="G27" s="48" t="s">
        <v>141</v>
      </c>
      <c r="H27" s="48" t="s">
        <v>172</v>
      </c>
      <c r="I27" s="48" t="s">
        <v>195</v>
      </c>
      <c r="J27" s="48" t="s">
        <v>274</v>
      </c>
      <c r="K27" s="48">
        <v>1</v>
      </c>
      <c r="L27" s="57" t="s">
        <v>281</v>
      </c>
      <c r="M27" s="54"/>
    </row>
    <row r="28" spans="1:13" ht="36" x14ac:dyDescent="0.25">
      <c r="A28" s="1"/>
      <c r="B28" s="45">
        <f>ROW(B28) - ROW($B$9)</f>
        <v>19</v>
      </c>
      <c r="C28" s="60" t="s">
        <v>13</v>
      </c>
      <c r="D28" s="61" t="s">
        <v>48</v>
      </c>
      <c r="E28" s="61" t="s">
        <v>97</v>
      </c>
      <c r="F28" s="61" t="s">
        <v>142</v>
      </c>
      <c r="G28" s="61" t="s">
        <v>160</v>
      </c>
      <c r="H28" s="61" t="s">
        <v>173</v>
      </c>
      <c r="I28" s="61" t="s">
        <v>160</v>
      </c>
      <c r="J28" s="61" t="s">
        <v>232</v>
      </c>
      <c r="K28" s="61">
        <v>2</v>
      </c>
      <c r="L28" s="68" t="s">
        <v>274</v>
      </c>
      <c r="M28" s="62" t="s">
        <v>316</v>
      </c>
    </row>
    <row r="29" spans="1:13" ht="48" x14ac:dyDescent="0.25">
      <c r="A29" s="1"/>
      <c r="B29" s="46">
        <f t="shared" si="0"/>
        <v>20</v>
      </c>
      <c r="C29" s="50" t="s">
        <v>11</v>
      </c>
      <c r="D29" s="48" t="s">
        <v>49</v>
      </c>
      <c r="E29" s="48" t="s">
        <v>98</v>
      </c>
      <c r="F29" s="48" t="s">
        <v>277</v>
      </c>
      <c r="G29" s="48" t="s">
        <v>143</v>
      </c>
      <c r="H29" s="48" t="s">
        <v>171</v>
      </c>
      <c r="I29" s="48" t="s">
        <v>196</v>
      </c>
      <c r="J29" s="48" t="s">
        <v>274</v>
      </c>
      <c r="K29" s="48">
        <v>1</v>
      </c>
      <c r="L29" s="57" t="s">
        <v>281</v>
      </c>
      <c r="M29" s="54"/>
    </row>
    <row r="30" spans="1:13" ht="36" x14ac:dyDescent="0.25">
      <c r="A30" s="1"/>
      <c r="B30" s="45">
        <f>ROW(B30) - ROW($B$9)</f>
        <v>21</v>
      </c>
      <c r="C30" s="49" t="s">
        <v>15</v>
      </c>
      <c r="D30" s="37" t="s">
        <v>50</v>
      </c>
      <c r="E30" s="37" t="s">
        <v>99</v>
      </c>
      <c r="F30" s="48" t="s">
        <v>277</v>
      </c>
      <c r="G30" s="37" t="s">
        <v>144</v>
      </c>
      <c r="H30" s="37" t="s">
        <v>174</v>
      </c>
      <c r="I30" s="37" t="s">
        <v>197</v>
      </c>
      <c r="J30" s="48" t="s">
        <v>274</v>
      </c>
      <c r="K30" s="37">
        <v>1</v>
      </c>
      <c r="L30" s="57" t="s">
        <v>281</v>
      </c>
      <c r="M30" s="54"/>
    </row>
    <row r="31" spans="1:13" x14ac:dyDescent="0.25">
      <c r="A31" s="1"/>
      <c r="B31" s="46">
        <f t="shared" si="0"/>
        <v>22</v>
      </c>
      <c r="C31" s="50" t="s">
        <v>16</v>
      </c>
      <c r="D31" s="48" t="s">
        <v>51</v>
      </c>
      <c r="E31" s="48" t="s">
        <v>100</v>
      </c>
      <c r="F31" s="48" t="s">
        <v>277</v>
      </c>
      <c r="G31" s="48" t="s">
        <v>145</v>
      </c>
      <c r="H31" s="48" t="s">
        <v>292</v>
      </c>
      <c r="I31" s="48" t="s">
        <v>274</v>
      </c>
      <c r="J31" s="48" t="s">
        <v>274</v>
      </c>
      <c r="K31" s="48">
        <v>3</v>
      </c>
      <c r="L31" s="68" t="s">
        <v>290</v>
      </c>
      <c r="M31" s="54"/>
    </row>
    <row r="32" spans="1:13" ht="24" x14ac:dyDescent="0.25">
      <c r="A32" s="1"/>
      <c r="B32" s="45">
        <f>ROW(B32) - ROW($B$9)</f>
        <v>23</v>
      </c>
      <c r="C32" s="49" t="s">
        <v>17</v>
      </c>
      <c r="D32" s="37" t="s">
        <v>52</v>
      </c>
      <c r="E32" s="37" t="s">
        <v>101</v>
      </c>
      <c r="F32" s="37" t="s">
        <v>146</v>
      </c>
      <c r="G32" s="37" t="s">
        <v>161</v>
      </c>
      <c r="H32" s="37" t="s">
        <v>175</v>
      </c>
      <c r="I32" s="37" t="s">
        <v>198</v>
      </c>
      <c r="J32" s="48" t="s">
        <v>274</v>
      </c>
      <c r="K32" s="37">
        <v>8</v>
      </c>
      <c r="L32" s="57" t="s">
        <v>290</v>
      </c>
      <c r="M32" s="54"/>
    </row>
    <row r="33" spans="1:13" ht="24" x14ac:dyDescent="0.25">
      <c r="A33" s="1"/>
      <c r="B33" s="46">
        <f t="shared" si="0"/>
        <v>24</v>
      </c>
      <c r="C33" s="50" t="s">
        <v>18</v>
      </c>
      <c r="D33" s="48" t="s">
        <v>53</v>
      </c>
      <c r="E33" s="48" t="s">
        <v>102</v>
      </c>
      <c r="F33" s="48" t="s">
        <v>147</v>
      </c>
      <c r="G33" s="48" t="s">
        <v>162</v>
      </c>
      <c r="H33" s="48" t="s">
        <v>176</v>
      </c>
      <c r="I33" s="48" t="s">
        <v>309</v>
      </c>
      <c r="J33" s="48" t="s">
        <v>274</v>
      </c>
      <c r="K33" s="48">
        <v>2</v>
      </c>
      <c r="L33" s="68" t="s">
        <v>281</v>
      </c>
      <c r="M33" s="54"/>
    </row>
    <row r="34" spans="1:13" ht="36" x14ac:dyDescent="0.25">
      <c r="A34" s="1"/>
      <c r="B34" s="45">
        <f>ROW(B34) - ROW($B$9)</f>
        <v>25</v>
      </c>
      <c r="C34" s="49" t="s">
        <v>19</v>
      </c>
      <c r="D34" s="37" t="s">
        <v>54</v>
      </c>
      <c r="E34" s="37" t="s">
        <v>103</v>
      </c>
      <c r="F34" s="37" t="s">
        <v>148</v>
      </c>
      <c r="G34" s="37" t="s">
        <v>163</v>
      </c>
      <c r="H34" s="37" t="s">
        <v>177</v>
      </c>
      <c r="I34" s="37" t="s">
        <v>199</v>
      </c>
      <c r="J34" s="48" t="s">
        <v>274</v>
      </c>
      <c r="K34" s="37">
        <v>4</v>
      </c>
      <c r="L34" s="57" t="s">
        <v>281</v>
      </c>
      <c r="M34" s="54"/>
    </row>
    <row r="35" spans="1:13" ht="36" x14ac:dyDescent="0.25">
      <c r="A35" s="1"/>
      <c r="B35" s="46">
        <f t="shared" si="0"/>
        <v>26</v>
      </c>
      <c r="C35" s="49" t="s">
        <v>20</v>
      </c>
      <c r="D35" s="48" t="s">
        <v>55</v>
      </c>
      <c r="E35" s="48" t="s">
        <v>104</v>
      </c>
      <c r="F35" s="48" t="s">
        <v>149</v>
      </c>
      <c r="G35" s="48" t="s">
        <v>260</v>
      </c>
      <c r="H35" s="48" t="s">
        <v>261</v>
      </c>
      <c r="I35" s="48" t="s">
        <v>262</v>
      </c>
      <c r="J35" s="48" t="s">
        <v>233</v>
      </c>
      <c r="K35" s="48">
        <v>4</v>
      </c>
      <c r="L35" s="68" t="s">
        <v>281</v>
      </c>
      <c r="M35" s="54"/>
    </row>
    <row r="36" spans="1:13" ht="25.5" x14ac:dyDescent="0.25">
      <c r="A36" s="1"/>
      <c r="B36" s="45">
        <f>ROW(B36) - ROW($B$9)</f>
        <v>27</v>
      </c>
      <c r="C36" s="49" t="s">
        <v>20</v>
      </c>
      <c r="D36" s="37" t="s">
        <v>56</v>
      </c>
      <c r="E36" s="37" t="s">
        <v>105</v>
      </c>
      <c r="F36" s="37" t="s">
        <v>277</v>
      </c>
      <c r="G36" s="37" t="s">
        <v>150</v>
      </c>
      <c r="H36" s="37" t="s">
        <v>178</v>
      </c>
      <c r="I36" s="37" t="s">
        <v>200</v>
      </c>
      <c r="J36" s="37" t="s">
        <v>234</v>
      </c>
      <c r="K36" s="37">
        <v>2</v>
      </c>
      <c r="L36" s="57" t="s">
        <v>281</v>
      </c>
      <c r="M36" s="54"/>
    </row>
    <row r="37" spans="1:13" x14ac:dyDescent="0.25">
      <c r="A37" s="1"/>
      <c r="B37" s="46">
        <f t="shared" si="0"/>
        <v>28</v>
      </c>
      <c r="C37" s="50" t="s">
        <v>21</v>
      </c>
      <c r="D37" s="48" t="s">
        <v>57</v>
      </c>
      <c r="E37" s="48" t="s">
        <v>106</v>
      </c>
      <c r="F37" s="48" t="s">
        <v>151</v>
      </c>
      <c r="G37" s="37" t="s">
        <v>263</v>
      </c>
      <c r="H37" s="69" t="s">
        <v>293</v>
      </c>
      <c r="I37" s="48" t="s">
        <v>201</v>
      </c>
      <c r="J37" s="48" t="s">
        <v>235</v>
      </c>
      <c r="K37" s="48">
        <v>3</v>
      </c>
      <c r="L37" s="68" t="s">
        <v>281</v>
      </c>
      <c r="M37" s="54"/>
    </row>
    <row r="38" spans="1:13" x14ac:dyDescent="0.25">
      <c r="A38" s="1"/>
      <c r="B38" s="45">
        <f>ROW(B38) - ROW($B$9)</f>
        <v>29</v>
      </c>
      <c r="C38" s="49" t="s">
        <v>21</v>
      </c>
      <c r="D38" s="37" t="s">
        <v>58</v>
      </c>
      <c r="E38" s="37" t="s">
        <v>107</v>
      </c>
      <c r="F38" s="37" t="s">
        <v>151</v>
      </c>
      <c r="G38" s="37" t="s">
        <v>264</v>
      </c>
      <c r="H38" s="69" t="s">
        <v>293</v>
      </c>
      <c r="I38" s="37" t="s">
        <v>202</v>
      </c>
      <c r="J38" s="37" t="s">
        <v>236</v>
      </c>
      <c r="K38" s="37">
        <v>6</v>
      </c>
      <c r="L38" s="68" t="s">
        <v>281</v>
      </c>
      <c r="M38" s="54"/>
    </row>
    <row r="39" spans="1:13" x14ac:dyDescent="0.25">
      <c r="A39" s="1"/>
      <c r="B39" s="46">
        <f t="shared" si="0"/>
        <v>30</v>
      </c>
      <c r="C39" s="50" t="s">
        <v>21</v>
      </c>
      <c r="D39" s="48" t="s">
        <v>59</v>
      </c>
      <c r="E39" s="48" t="s">
        <v>108</v>
      </c>
      <c r="F39" s="48" t="s">
        <v>151</v>
      </c>
      <c r="G39" s="37" t="s">
        <v>265</v>
      </c>
      <c r="H39" s="69" t="s">
        <v>293</v>
      </c>
      <c r="I39" s="48" t="s">
        <v>203</v>
      </c>
      <c r="J39" s="48" t="s">
        <v>237</v>
      </c>
      <c r="K39" s="48">
        <v>4</v>
      </c>
      <c r="L39" s="57" t="s">
        <v>281</v>
      </c>
      <c r="M39" s="54"/>
    </row>
    <row r="40" spans="1:13" x14ac:dyDescent="0.25">
      <c r="A40" s="1"/>
      <c r="B40" s="45">
        <f>ROW(B40) - ROW($B$9)</f>
        <v>31</v>
      </c>
      <c r="C40" s="49" t="s">
        <v>21</v>
      </c>
      <c r="D40" s="37" t="s">
        <v>60</v>
      </c>
      <c r="E40" s="37" t="s">
        <v>109</v>
      </c>
      <c r="F40" s="37" t="s">
        <v>151</v>
      </c>
      <c r="G40" s="37" t="s">
        <v>266</v>
      </c>
      <c r="H40" s="69" t="s">
        <v>293</v>
      </c>
      <c r="I40" s="37" t="s">
        <v>204</v>
      </c>
      <c r="J40" s="37" t="s">
        <v>238</v>
      </c>
      <c r="K40" s="37">
        <v>2</v>
      </c>
      <c r="L40" s="68" t="s">
        <v>281</v>
      </c>
      <c r="M40" s="54"/>
    </row>
    <row r="41" spans="1:13" x14ac:dyDescent="0.25">
      <c r="A41" s="1"/>
      <c r="B41" s="46">
        <f t="shared" si="0"/>
        <v>32</v>
      </c>
      <c r="C41" s="50" t="s">
        <v>21</v>
      </c>
      <c r="D41" s="48" t="s">
        <v>61</v>
      </c>
      <c r="E41" s="48" t="s">
        <v>110</v>
      </c>
      <c r="F41" s="48" t="s">
        <v>151</v>
      </c>
      <c r="G41" s="37" t="s">
        <v>267</v>
      </c>
      <c r="H41" s="69" t="s">
        <v>293</v>
      </c>
      <c r="I41" s="48" t="s">
        <v>205</v>
      </c>
      <c r="J41" s="48" t="s">
        <v>239</v>
      </c>
      <c r="K41" s="48">
        <v>3</v>
      </c>
      <c r="L41" s="57" t="s">
        <v>281</v>
      </c>
      <c r="M41" s="54"/>
    </row>
    <row r="42" spans="1:13" x14ac:dyDescent="0.25">
      <c r="A42" s="1"/>
      <c r="B42" s="45">
        <f>ROW(B42) - ROW($B$9)</f>
        <v>33</v>
      </c>
      <c r="C42" s="49" t="s">
        <v>21</v>
      </c>
      <c r="D42" s="37" t="s">
        <v>62</v>
      </c>
      <c r="E42" s="37" t="s">
        <v>111</v>
      </c>
      <c r="F42" s="37" t="s">
        <v>151</v>
      </c>
      <c r="G42" s="37" t="s">
        <v>268</v>
      </c>
      <c r="H42" s="69" t="s">
        <v>293</v>
      </c>
      <c r="I42" s="37" t="s">
        <v>206</v>
      </c>
      <c r="J42" s="37" t="s">
        <v>240</v>
      </c>
      <c r="K42" s="37">
        <v>6</v>
      </c>
      <c r="L42" s="68" t="s">
        <v>281</v>
      </c>
      <c r="M42" s="54"/>
    </row>
    <row r="43" spans="1:13" x14ac:dyDescent="0.25">
      <c r="A43" s="1"/>
      <c r="B43" s="46">
        <f t="shared" si="0"/>
        <v>34</v>
      </c>
      <c r="C43" s="50" t="s">
        <v>21</v>
      </c>
      <c r="D43" s="48" t="s">
        <v>63</v>
      </c>
      <c r="E43" s="48" t="s">
        <v>112</v>
      </c>
      <c r="F43" s="48" t="s">
        <v>151</v>
      </c>
      <c r="G43" s="37" t="s">
        <v>269</v>
      </c>
      <c r="H43" s="69" t="s">
        <v>293</v>
      </c>
      <c r="I43" s="48" t="s">
        <v>207</v>
      </c>
      <c r="J43" s="48" t="s">
        <v>241</v>
      </c>
      <c r="K43" s="48">
        <v>2</v>
      </c>
      <c r="L43" s="57" t="s">
        <v>281</v>
      </c>
      <c r="M43" s="54"/>
    </row>
    <row r="44" spans="1:13" x14ac:dyDescent="0.25">
      <c r="A44" s="1"/>
      <c r="B44" s="45">
        <f>ROW(B44) - ROW($B$9)</f>
        <v>35</v>
      </c>
      <c r="C44" s="49" t="s">
        <v>21</v>
      </c>
      <c r="D44" s="37" t="s">
        <v>64</v>
      </c>
      <c r="E44" s="37" t="s">
        <v>113</v>
      </c>
      <c r="F44" s="37" t="s">
        <v>151</v>
      </c>
      <c r="G44" s="37" t="s">
        <v>270</v>
      </c>
      <c r="H44" s="37" t="s">
        <v>306</v>
      </c>
      <c r="I44" s="37" t="s">
        <v>208</v>
      </c>
      <c r="J44" s="37" t="s">
        <v>242</v>
      </c>
      <c r="K44" s="37">
        <v>3</v>
      </c>
      <c r="L44" s="68" t="s">
        <v>281</v>
      </c>
      <c r="M44" s="54"/>
    </row>
    <row r="45" spans="1:13" x14ac:dyDescent="0.25">
      <c r="A45" s="1"/>
      <c r="B45" s="46">
        <f t="shared" si="0"/>
        <v>36</v>
      </c>
      <c r="C45" s="50" t="s">
        <v>21</v>
      </c>
      <c r="D45" s="48" t="s">
        <v>65</v>
      </c>
      <c r="E45" s="48" t="s">
        <v>114</v>
      </c>
      <c r="F45" s="48" t="s">
        <v>151</v>
      </c>
      <c r="G45" s="37" t="s">
        <v>271</v>
      </c>
      <c r="H45" s="69" t="s">
        <v>293</v>
      </c>
      <c r="I45" s="48" t="s">
        <v>209</v>
      </c>
      <c r="J45" s="48" t="s">
        <v>243</v>
      </c>
      <c r="K45" s="48">
        <v>1</v>
      </c>
      <c r="L45" s="57" t="s">
        <v>281</v>
      </c>
      <c r="M45" s="54"/>
    </row>
    <row r="46" spans="1:13" x14ac:dyDescent="0.25">
      <c r="A46" s="1"/>
      <c r="B46" s="45">
        <f>ROW(B46) - ROW($B$9)</f>
        <v>37</v>
      </c>
      <c r="C46" s="49" t="s">
        <v>21</v>
      </c>
      <c r="D46" s="37" t="s">
        <v>66</v>
      </c>
      <c r="E46" s="37" t="s">
        <v>115</v>
      </c>
      <c r="F46" s="37" t="s">
        <v>151</v>
      </c>
      <c r="G46" s="37" t="s">
        <v>272</v>
      </c>
      <c r="H46" s="69" t="s">
        <v>293</v>
      </c>
      <c r="I46" s="37" t="s">
        <v>210</v>
      </c>
      <c r="J46" s="37" t="s">
        <v>244</v>
      </c>
      <c r="K46" s="37">
        <v>1</v>
      </c>
      <c r="L46" s="68" t="s">
        <v>281</v>
      </c>
      <c r="M46" s="54"/>
    </row>
    <row r="47" spans="1:13" x14ac:dyDescent="0.25">
      <c r="A47" s="1"/>
      <c r="B47" s="46">
        <f t="shared" si="0"/>
        <v>38</v>
      </c>
      <c r="C47" s="50" t="s">
        <v>21</v>
      </c>
      <c r="D47" s="48" t="s">
        <v>67</v>
      </c>
      <c r="E47" s="48" t="s">
        <v>116</v>
      </c>
      <c r="F47" s="48" t="s">
        <v>151</v>
      </c>
      <c r="G47" s="37" t="s">
        <v>273</v>
      </c>
      <c r="H47" s="69" t="s">
        <v>293</v>
      </c>
      <c r="I47" s="48" t="s">
        <v>211</v>
      </c>
      <c r="J47" s="48" t="s">
        <v>245</v>
      </c>
      <c r="K47" s="48">
        <v>6</v>
      </c>
      <c r="L47" s="68" t="s">
        <v>281</v>
      </c>
      <c r="M47" s="54"/>
    </row>
    <row r="48" spans="1:13" ht="24" x14ac:dyDescent="0.25">
      <c r="A48" s="1"/>
      <c r="B48" s="45">
        <f>ROW(B48) - ROW($B$9)</f>
        <v>39</v>
      </c>
      <c r="C48" s="49" t="s">
        <v>22</v>
      </c>
      <c r="D48" s="37" t="s">
        <v>68</v>
      </c>
      <c r="E48" s="37" t="s">
        <v>117</v>
      </c>
      <c r="F48" s="37" t="s">
        <v>277</v>
      </c>
      <c r="G48" s="37" t="s">
        <v>152</v>
      </c>
      <c r="H48" s="37" t="s">
        <v>179</v>
      </c>
      <c r="I48" s="37" t="s">
        <v>212</v>
      </c>
      <c r="J48" s="37" t="s">
        <v>274</v>
      </c>
      <c r="K48" s="37">
        <v>1</v>
      </c>
      <c r="L48" s="68" t="s">
        <v>281</v>
      </c>
      <c r="M48" s="54"/>
    </row>
    <row r="49" spans="1:16" ht="24" x14ac:dyDescent="0.25">
      <c r="A49" s="1"/>
      <c r="B49" s="46">
        <f t="shared" si="0"/>
        <v>40</v>
      </c>
      <c r="C49" s="50" t="s">
        <v>23</v>
      </c>
      <c r="D49" s="48" t="s">
        <v>69</v>
      </c>
      <c r="E49" s="48" t="s">
        <v>118</v>
      </c>
      <c r="F49" s="37" t="s">
        <v>277</v>
      </c>
      <c r="G49" s="48" t="s">
        <v>164</v>
      </c>
      <c r="H49" s="48" t="s">
        <v>180</v>
      </c>
      <c r="I49" s="48" t="s">
        <v>213</v>
      </c>
      <c r="J49" s="37" t="s">
        <v>274</v>
      </c>
      <c r="K49" s="48">
        <v>2</v>
      </c>
      <c r="L49" s="68" t="s">
        <v>281</v>
      </c>
      <c r="M49" s="54"/>
    </row>
    <row r="50" spans="1:16" ht="36" x14ac:dyDescent="0.25">
      <c r="A50" s="1"/>
      <c r="B50" s="45">
        <f>ROW(B50) - ROW($B$9)</f>
        <v>41</v>
      </c>
      <c r="C50" s="49" t="s">
        <v>289</v>
      </c>
      <c r="D50" s="37" t="s">
        <v>70</v>
      </c>
      <c r="E50" s="37" t="s">
        <v>119</v>
      </c>
      <c r="F50" s="37" t="s">
        <v>277</v>
      </c>
      <c r="G50" s="37" t="s">
        <v>165</v>
      </c>
      <c r="H50" s="37" t="s">
        <v>181</v>
      </c>
      <c r="I50" s="37" t="s">
        <v>214</v>
      </c>
      <c r="J50" s="37" t="s">
        <v>274</v>
      </c>
      <c r="K50" s="37">
        <v>2</v>
      </c>
      <c r="L50" s="57" t="s">
        <v>281</v>
      </c>
      <c r="M50" s="54"/>
    </row>
    <row r="51" spans="1:16" x14ac:dyDescent="0.25">
      <c r="A51" s="1"/>
      <c r="B51" s="46">
        <f t="shared" si="0"/>
        <v>42</v>
      </c>
      <c r="C51" s="50" t="s">
        <v>24</v>
      </c>
      <c r="D51" s="48" t="s">
        <v>71</v>
      </c>
      <c r="E51" s="48" t="s">
        <v>120</v>
      </c>
      <c r="F51" s="37" t="s">
        <v>277</v>
      </c>
      <c r="G51" s="48" t="s">
        <v>153</v>
      </c>
      <c r="H51" s="69" t="s">
        <v>307</v>
      </c>
      <c r="I51" s="48" t="s">
        <v>274</v>
      </c>
      <c r="J51" s="37" t="s">
        <v>274</v>
      </c>
      <c r="K51" s="48">
        <v>1</v>
      </c>
      <c r="L51" s="68" t="s">
        <v>290</v>
      </c>
      <c r="M51" s="54"/>
    </row>
    <row r="52" spans="1:16" x14ac:dyDescent="0.25">
      <c r="A52" s="1"/>
      <c r="B52" s="45">
        <f>ROW(B52) - ROW($B$9)</f>
        <v>43</v>
      </c>
      <c r="C52" s="49" t="s">
        <v>25</v>
      </c>
      <c r="D52" s="37" t="s">
        <v>72</v>
      </c>
      <c r="E52" s="37" t="s">
        <v>121</v>
      </c>
      <c r="F52" s="37" t="s">
        <v>154</v>
      </c>
      <c r="G52" s="37" t="s">
        <v>166</v>
      </c>
      <c r="H52" s="37" t="s">
        <v>182</v>
      </c>
      <c r="I52" s="37" t="s">
        <v>215</v>
      </c>
      <c r="J52" s="37" t="s">
        <v>274</v>
      </c>
      <c r="K52" s="37">
        <v>1</v>
      </c>
      <c r="L52" s="57" t="s">
        <v>281</v>
      </c>
      <c r="M52" s="54"/>
    </row>
    <row r="53" spans="1:16" x14ac:dyDescent="0.25">
      <c r="A53" s="1"/>
      <c r="B53" s="46">
        <f t="shared" si="0"/>
        <v>44</v>
      </c>
      <c r="C53" s="50" t="s">
        <v>26</v>
      </c>
      <c r="D53" s="48" t="s">
        <v>73</v>
      </c>
      <c r="E53" s="48" t="s">
        <v>121</v>
      </c>
      <c r="F53" s="48" t="s">
        <v>154</v>
      </c>
      <c r="G53" s="48" t="s">
        <v>167</v>
      </c>
      <c r="H53" s="48" t="s">
        <v>182</v>
      </c>
      <c r="I53" s="48" t="s">
        <v>216</v>
      </c>
      <c r="J53" s="37" t="s">
        <v>274</v>
      </c>
      <c r="K53" s="48">
        <v>1</v>
      </c>
      <c r="L53" s="68" t="s">
        <v>281</v>
      </c>
      <c r="M53" s="54"/>
    </row>
    <row r="54" spans="1:16" x14ac:dyDescent="0.25">
      <c r="A54" s="1"/>
      <c r="B54" s="45">
        <f>ROW(B54) - ROW($B$9)</f>
        <v>45</v>
      </c>
      <c r="C54" s="49" t="s">
        <v>26</v>
      </c>
      <c r="D54" s="37" t="s">
        <v>74</v>
      </c>
      <c r="E54" s="37" t="s">
        <v>122</v>
      </c>
      <c r="F54" s="37" t="s">
        <v>155</v>
      </c>
      <c r="G54" s="37" t="s">
        <v>246</v>
      </c>
      <c r="H54" s="55" t="s">
        <v>308</v>
      </c>
      <c r="I54" s="37" t="s">
        <v>274</v>
      </c>
      <c r="J54" s="37" t="s">
        <v>274</v>
      </c>
      <c r="K54" s="37">
        <v>1</v>
      </c>
      <c r="L54" s="57" t="s">
        <v>290</v>
      </c>
      <c r="M54" s="54"/>
    </row>
    <row r="55" spans="1:16" ht="24" x14ac:dyDescent="0.25">
      <c r="A55" s="1"/>
      <c r="B55" s="46">
        <f t="shared" si="0"/>
        <v>46</v>
      </c>
      <c r="C55" s="50" t="s">
        <v>26</v>
      </c>
      <c r="D55" s="48" t="s">
        <v>75</v>
      </c>
      <c r="E55" s="48" t="s">
        <v>123</v>
      </c>
      <c r="F55" s="48" t="s">
        <v>156</v>
      </c>
      <c r="G55" s="48" t="s">
        <v>247</v>
      </c>
      <c r="H55" s="55" t="s">
        <v>308</v>
      </c>
      <c r="I55" s="48" t="s">
        <v>274</v>
      </c>
      <c r="J55" s="37" t="s">
        <v>274</v>
      </c>
      <c r="K55" s="48">
        <v>1</v>
      </c>
      <c r="L55" s="68" t="s">
        <v>290</v>
      </c>
      <c r="M55" s="54"/>
    </row>
    <row r="56" spans="1:16" ht="24" x14ac:dyDescent="0.25">
      <c r="A56" s="1"/>
      <c r="B56" s="45">
        <f>ROW(B56) - ROW($B$9)</f>
        <v>47</v>
      </c>
      <c r="C56" s="49" t="s">
        <v>26</v>
      </c>
      <c r="D56" s="37" t="s">
        <v>76</v>
      </c>
      <c r="E56" s="37" t="s">
        <v>124</v>
      </c>
      <c r="F56" s="37" t="s">
        <v>157</v>
      </c>
      <c r="G56" s="37" t="s">
        <v>168</v>
      </c>
      <c r="H56" s="37" t="s">
        <v>183</v>
      </c>
      <c r="I56" s="37" t="s">
        <v>217</v>
      </c>
      <c r="J56" s="37" t="s">
        <v>274</v>
      </c>
      <c r="K56" s="37">
        <v>1</v>
      </c>
      <c r="L56" s="57" t="s">
        <v>281</v>
      </c>
      <c r="M56" s="54"/>
    </row>
    <row r="57" spans="1:16" x14ac:dyDescent="0.25">
      <c r="A57" s="1"/>
      <c r="B57" s="46">
        <f t="shared" si="0"/>
        <v>48</v>
      </c>
      <c r="C57" s="50" t="s">
        <v>27</v>
      </c>
      <c r="D57" s="48" t="s">
        <v>77</v>
      </c>
      <c r="E57" s="48" t="s">
        <v>125</v>
      </c>
      <c r="F57" s="48" t="s">
        <v>147</v>
      </c>
      <c r="G57" s="48" t="s">
        <v>169</v>
      </c>
      <c r="H57" s="48" t="s">
        <v>176</v>
      </c>
      <c r="I57" s="48" t="s">
        <v>218</v>
      </c>
      <c r="J57" s="37" t="s">
        <v>274</v>
      </c>
      <c r="K57" s="48">
        <v>1</v>
      </c>
      <c r="L57" s="68" t="s">
        <v>281</v>
      </c>
      <c r="M57" s="54"/>
    </row>
    <row r="58" spans="1:16" ht="24.75" thickBot="1" x14ac:dyDescent="0.3">
      <c r="A58" s="1"/>
      <c r="B58" s="45">
        <f>ROW(B58) - ROW($B$9)</f>
        <v>49</v>
      </c>
      <c r="C58" s="49" t="s">
        <v>28</v>
      </c>
      <c r="D58" s="37" t="s">
        <v>78</v>
      </c>
      <c r="E58" s="37" t="s">
        <v>126</v>
      </c>
      <c r="F58" s="37" t="s">
        <v>277</v>
      </c>
      <c r="G58" s="37" t="s">
        <v>158</v>
      </c>
      <c r="H58" s="37" t="s">
        <v>184</v>
      </c>
      <c r="I58" s="37" t="s">
        <v>274</v>
      </c>
      <c r="J58" s="37" t="s">
        <v>237</v>
      </c>
      <c r="K58" s="37">
        <v>2</v>
      </c>
      <c r="L58" s="68" t="s">
        <v>290</v>
      </c>
      <c r="M58" s="38"/>
    </row>
    <row r="59" spans="1:16" ht="36" x14ac:dyDescent="0.25">
      <c r="A59" s="1"/>
      <c r="B59" s="45">
        <f t="shared" ref="B59:B62" si="1">ROW(B59)-ROW($B$9)</f>
        <v>50</v>
      </c>
      <c r="C59" s="49" t="s">
        <v>275</v>
      </c>
      <c r="D59" s="37" t="s">
        <v>274</v>
      </c>
      <c r="E59" s="37" t="s">
        <v>276</v>
      </c>
      <c r="F59" s="37" t="s">
        <v>277</v>
      </c>
      <c r="G59" s="37" t="s">
        <v>278</v>
      </c>
      <c r="H59" s="37" t="s">
        <v>279</v>
      </c>
      <c r="I59" s="37" t="s">
        <v>280</v>
      </c>
      <c r="J59" s="37" t="s">
        <v>274</v>
      </c>
      <c r="K59" s="37">
        <v>1</v>
      </c>
      <c r="L59" s="57" t="s">
        <v>281</v>
      </c>
      <c r="M59" s="47"/>
      <c r="O59" s="58"/>
      <c r="P59" s="59"/>
    </row>
    <row r="60" spans="1:16" ht="36" x14ac:dyDescent="0.25">
      <c r="A60" s="1"/>
      <c r="B60" s="45">
        <f t="shared" si="1"/>
        <v>51</v>
      </c>
      <c r="C60" s="49" t="s">
        <v>275</v>
      </c>
      <c r="D60" s="37" t="s">
        <v>274</v>
      </c>
      <c r="E60" s="37" t="s">
        <v>282</v>
      </c>
      <c r="F60" s="37" t="s">
        <v>277</v>
      </c>
      <c r="G60" s="37" t="s">
        <v>283</v>
      </c>
      <c r="H60" s="37" t="s">
        <v>279</v>
      </c>
      <c r="I60" s="37" t="s">
        <v>284</v>
      </c>
      <c r="J60" s="37" t="s">
        <v>274</v>
      </c>
      <c r="K60" s="37">
        <v>1</v>
      </c>
      <c r="L60" s="68" t="s">
        <v>281</v>
      </c>
      <c r="M60" s="47"/>
      <c r="O60" s="58"/>
      <c r="P60" s="59"/>
    </row>
    <row r="61" spans="1:16" ht="24" x14ac:dyDescent="0.25">
      <c r="A61" s="1"/>
      <c r="B61" s="45">
        <f t="shared" si="1"/>
        <v>52</v>
      </c>
      <c r="C61" s="49" t="s">
        <v>275</v>
      </c>
      <c r="D61" s="37" t="s">
        <v>274</v>
      </c>
      <c r="E61" s="37" t="s">
        <v>285</v>
      </c>
      <c r="F61" s="37" t="s">
        <v>277</v>
      </c>
      <c r="G61" s="37" t="s">
        <v>286</v>
      </c>
      <c r="H61" s="37" t="s">
        <v>287</v>
      </c>
      <c r="I61" s="37" t="s">
        <v>288</v>
      </c>
      <c r="J61" s="37" t="s">
        <v>274</v>
      </c>
      <c r="K61" s="37">
        <v>1</v>
      </c>
      <c r="L61" s="57" t="s">
        <v>281</v>
      </c>
      <c r="M61" s="47"/>
      <c r="O61" s="58"/>
      <c r="P61" s="58"/>
    </row>
    <row r="62" spans="1:16" ht="24.75" thickBot="1" x14ac:dyDescent="0.3">
      <c r="A62" s="1"/>
      <c r="B62" s="45">
        <f t="shared" si="1"/>
        <v>53</v>
      </c>
      <c r="C62" s="49" t="s">
        <v>275</v>
      </c>
      <c r="D62" s="37" t="s">
        <v>274</v>
      </c>
      <c r="E62" s="37" t="s">
        <v>312</v>
      </c>
      <c r="F62" s="37" t="s">
        <v>277</v>
      </c>
      <c r="G62" s="55" t="s">
        <v>313</v>
      </c>
      <c r="H62" s="37" t="s">
        <v>314</v>
      </c>
      <c r="I62" s="37" t="s">
        <v>315</v>
      </c>
      <c r="J62" s="37" t="s">
        <v>274</v>
      </c>
      <c r="K62" s="37">
        <v>1</v>
      </c>
      <c r="L62" s="57" t="s">
        <v>281</v>
      </c>
      <c r="M62" s="47"/>
      <c r="O62" s="58"/>
      <c r="P62" s="58"/>
    </row>
    <row r="63" spans="1:16" ht="19.5" thickBot="1" x14ac:dyDescent="0.3">
      <c r="A63" s="1"/>
      <c r="B63" s="39"/>
      <c r="C63" s="40"/>
      <c r="D63" s="41"/>
      <c r="E63" s="42"/>
      <c r="F63" s="43"/>
      <c r="G63" s="44"/>
      <c r="H63" s="43"/>
      <c r="I63" s="43"/>
      <c r="J63" s="44"/>
      <c r="K63" s="44"/>
      <c r="L63" s="70"/>
      <c r="M63" s="75"/>
    </row>
    <row r="64" spans="1:16" ht="19.5" thickBot="1" x14ac:dyDescent="0.3">
      <c r="A64" s="1"/>
      <c r="B64" s="25"/>
      <c r="C64" s="36"/>
      <c r="D64" s="9"/>
      <c r="E64" s="10"/>
      <c r="F64" s="10"/>
      <c r="G64" s="10"/>
      <c r="H64" s="10"/>
      <c r="I64" s="10"/>
      <c r="J64" s="10"/>
      <c r="K64" s="10"/>
      <c r="L64" s="70"/>
      <c r="M64" s="76"/>
    </row>
  </sheetData>
  <mergeCells count="3">
    <mergeCell ref="J1:M1"/>
    <mergeCell ref="M3:M8"/>
    <mergeCell ref="M63:M64"/>
  </mergeCells>
  <hyperlinks>
    <hyperlink ref="L59" r:id="rId1"/>
    <hyperlink ref="L60" r:id="rId2"/>
    <hyperlink ref="L61" r:id="rId3"/>
    <hyperlink ref="L11" r:id="rId4"/>
    <hyperlink ref="L13" r:id="rId5"/>
    <hyperlink ref="L14" r:id="rId6"/>
    <hyperlink ref="L16" r:id="rId7"/>
    <hyperlink ref="L10" r:id="rId8"/>
    <hyperlink ref="L17" r:id="rId9"/>
    <hyperlink ref="L12" r:id="rId10"/>
    <hyperlink ref="L15" r:id="rId11"/>
    <hyperlink ref="L20" r:id="rId12"/>
    <hyperlink ref="L21" r:id="rId13"/>
    <hyperlink ref="L22" r:id="rId14"/>
    <hyperlink ref="L23" r:id="rId15"/>
    <hyperlink ref="L24" r:id="rId16"/>
    <hyperlink ref="L25" r:id="rId17"/>
    <hyperlink ref="L26" r:id="rId18" display="Chipsmall"/>
    <hyperlink ref="L27" r:id="rId19"/>
    <hyperlink ref="L29" r:id="rId20"/>
    <hyperlink ref="L30" r:id="rId21"/>
    <hyperlink ref="L31" r:id="rId22"/>
    <hyperlink ref="L32" r:id="rId23"/>
    <hyperlink ref="L34" r:id="rId24"/>
    <hyperlink ref="L35" r:id="rId25"/>
    <hyperlink ref="L36" r:id="rId26"/>
    <hyperlink ref="L33" r:id="rId27"/>
    <hyperlink ref="L37" r:id="rId28"/>
    <hyperlink ref="L38" r:id="rId29"/>
    <hyperlink ref="L39" r:id="rId30"/>
    <hyperlink ref="L40" r:id="rId31"/>
    <hyperlink ref="L41" r:id="rId32"/>
    <hyperlink ref="L42" r:id="rId33"/>
    <hyperlink ref="L43" r:id="rId34"/>
    <hyperlink ref="L44" r:id="rId35"/>
    <hyperlink ref="L45" r:id="rId36"/>
    <hyperlink ref="L46" r:id="rId37"/>
    <hyperlink ref="L47" r:id="rId38"/>
    <hyperlink ref="L49" r:id="rId39"/>
    <hyperlink ref="L50" r:id="rId40"/>
    <hyperlink ref="L55" r:id="rId41"/>
    <hyperlink ref="L54" r:id="rId42"/>
    <hyperlink ref="L52" r:id="rId43"/>
    <hyperlink ref="L53" r:id="rId44"/>
    <hyperlink ref="L56" r:id="rId45"/>
    <hyperlink ref="L57" r:id="rId46"/>
    <hyperlink ref="L48" r:id="rId47"/>
    <hyperlink ref="L58" r:id="rId48"/>
    <hyperlink ref="L18" r:id="rId49"/>
    <hyperlink ref="L51" r:id="rId50"/>
    <hyperlink ref="L19" r:id="rId51"/>
    <hyperlink ref="L62" r:id="rId52"/>
  </hyperlinks>
  <pageMargins left="0.7" right="0.7" top="0.75" bottom="0.75" header="0.3" footer="0.3"/>
  <pageSetup paperSize="9" orientation="portrait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2023-12-14T14:31:14Z</dcterms:modified>
</cp:coreProperties>
</file>