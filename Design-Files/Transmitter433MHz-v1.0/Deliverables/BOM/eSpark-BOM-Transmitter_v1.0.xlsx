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hasanmehmood-motordriver\Design-Files\Transmitter433MHz-v1.0\Deliverables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33" i="1" l="1"/>
  <c r="Q32" i="1"/>
  <c r="M32" i="1"/>
  <c r="B32" i="1"/>
  <c r="Q31" i="1" l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34" i="1" l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<sst xmlns="http://schemas.openxmlformats.org/spreadsheetml/2006/main" count="291" uniqueCount="182">
  <si>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</si>
  <si>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</si>
  <si>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</si>
  <si>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</si>
  <si>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</si>
  <si>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</si>
  <si>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</si>
  <si>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</si>
  <si>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</si>
  <si>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</si>
  <si>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Battery Connector</t>
  </si>
  <si>
    <t>Male Header</t>
  </si>
  <si>
    <t>Metal Dome Pot</t>
  </si>
  <si>
    <t>Inductor</t>
  </si>
  <si>
    <t>LED</t>
  </si>
  <si>
    <t>Resistor</t>
  </si>
  <si>
    <t>IC</t>
  </si>
  <si>
    <t>Crystal</t>
  </si>
  <si>
    <t>Designator</t>
  </si>
  <si>
    <t>C1, C2</t>
  </si>
  <si>
    <t>C3</t>
  </si>
  <si>
    <t>C4</t>
  </si>
  <si>
    <t>C5</t>
  </si>
  <si>
    <t>C6</t>
  </si>
  <si>
    <t>C7</t>
  </si>
  <si>
    <t>C8</t>
  </si>
  <si>
    <t>J1</t>
  </si>
  <si>
    <t>J2</t>
  </si>
  <si>
    <t>J3, J4, J5, J6</t>
  </si>
  <si>
    <t>L1</t>
  </si>
  <si>
    <t>L2</t>
  </si>
  <si>
    <t>LED1</t>
  </si>
  <si>
    <t>R1, R2</t>
  </si>
  <si>
    <t>R3</t>
  </si>
  <si>
    <t>R4</t>
  </si>
  <si>
    <t>R5</t>
  </si>
  <si>
    <t>R6</t>
  </si>
  <si>
    <t>R7</t>
  </si>
  <si>
    <t>U1</t>
  </si>
  <si>
    <t>U2</t>
  </si>
  <si>
    <t>X1</t>
  </si>
  <si>
    <t>Description</t>
  </si>
  <si>
    <t>CAP CER 18PF 50V C0G/NP0 0402</t>
  </si>
  <si>
    <t>CAP CER 1UF 25V X5R 0402</t>
  </si>
  <si>
    <t>Cap Cer 220PF 25V X7R 0402</t>
  </si>
  <si>
    <t>CAP CER 2.2UF 25V X5R 0402</t>
  </si>
  <si>
    <t>CAP CER 4.7PF 50V C0G/NPO 0402</t>
  </si>
  <si>
    <t>CAP CER 100PF 50V C0G/NPO 0402</t>
  </si>
  <si>
    <t>CAP CER 10PF 50V C0G/NP0 0402</t>
  </si>
  <si>
    <t>Battery button CR2032 Plugin Battery Connectors ROHS</t>
  </si>
  <si>
    <t>CONN HEADER VERT 2POS 2.54MM</t>
  </si>
  <si>
    <t>Circular 160gf 0.25mm - Metal Dome Pot ROHS</t>
  </si>
  <si>
    <t>FIXED IND 180NH 150MA 3.38OHM SM</t>
  </si>
  <si>
    <t>FIXED IND 27NH 590MA 116MOHM SMD</t>
  </si>
  <si>
    <t>RED LED 0603 Light Emitting Diodes</t>
  </si>
  <si>
    <t>RES 100K OHM 1% 1/16W 0402</t>
  </si>
  <si>
    <t>RES SMD 300K OHM 1% 1/5W 0402</t>
  </si>
  <si>
    <t>RES SMD 1K OHM 1% 1/5W 0402</t>
  </si>
  <si>
    <t>RES SMD 10K OHM 0.1% 1/16W 0402</t>
  </si>
  <si>
    <t>RES 3.3K OHM 1% 1/16W 0402</t>
  </si>
  <si>
    <t>SOT-23-6 RF Transceiver ICs ROHS</t>
  </si>
  <si>
    <t>SOP-8 Interface - Specialized ROHS</t>
  </si>
  <si>
    <t>13.56MHz null ±10ppm HC-49S-SMD-2P-Mini Crystals ROHS</t>
  </si>
  <si>
    <t>Footprint</t>
  </si>
  <si>
    <t>Cap-0402</t>
  </si>
  <si>
    <t>MY-2032-02</t>
  </si>
  <si>
    <t>HDR1X2_</t>
  </si>
  <si>
    <t>600-508S-160</t>
  </si>
  <si>
    <t>IND-0402</t>
  </si>
  <si>
    <t>IND-0603 (1608 Metric)</t>
  </si>
  <si>
    <t>LED-0603</t>
  </si>
  <si>
    <t>Res-0402</t>
  </si>
  <si>
    <t>SOT-23-6</t>
  </si>
  <si>
    <t>SOP-8</t>
  </si>
  <si>
    <t>HC-49S-SMD-2P-Mini</t>
  </si>
  <si>
    <t>Manufacturer Part Number</t>
  </si>
  <si>
    <t>GCM1555C1H180GA16D</t>
  </si>
  <si>
    <t>CC0402KRX5R8BB105</t>
  </si>
  <si>
    <t>C0402C221K3RACAUTO</t>
  </si>
  <si>
    <t>GRM155R61E225KE11D</t>
  </si>
  <si>
    <t>CC0402BRNPO9BN4R7</t>
  </si>
  <si>
    <t>CC0402JRNPO9BN101</t>
  </si>
  <si>
    <t>GRM1555C1H100JA01D</t>
  </si>
  <si>
    <t>LQG15HSR18J02D</t>
  </si>
  <si>
    <t>LQW18AN27NG10D</t>
  </si>
  <si>
    <t>NCD0603R3</t>
  </si>
  <si>
    <t>AC0402FR-070RL</t>
  </si>
  <si>
    <t>RC0402FR-07100KL</t>
  </si>
  <si>
    <t>RCS0402300KFKED</t>
  </si>
  <si>
    <t>CRCW04021K00FKEDHP</t>
  </si>
  <si>
    <t>RT0402BRD0710KL</t>
  </si>
  <si>
    <t>RC0402FR-073K3L</t>
  </si>
  <si>
    <t>WF4455TD AS6T LG</t>
  </si>
  <si>
    <t>L1527</t>
  </si>
  <si>
    <t>13.560M 20PF 10PPM</t>
  </si>
  <si>
    <t>Manufacturer</t>
  </si>
  <si>
    <t>Murata</t>
  </si>
  <si>
    <t>Yageo</t>
  </si>
  <si>
    <t>KEMET</t>
  </si>
  <si>
    <t>MYOUNG</t>
  </si>
  <si>
    <t>TE Connectivity</t>
  </si>
  <si>
    <t>HYP</t>
  </si>
  <si>
    <t>Foshan NationStar Optoelectronics</t>
  </si>
  <si>
    <t>Vishay Dale</t>
  </si>
  <si>
    <t>WF</t>
  </si>
  <si>
    <t>WL</t>
  </si>
  <si>
    <t>SST</t>
  </si>
  <si>
    <t>LCSC Part Number</t>
  </si>
  <si>
    <t>C882583</t>
  </si>
  <si>
    <t>C326568</t>
  </si>
  <si>
    <t>C385032</t>
  </si>
  <si>
    <t>C325453</t>
  </si>
  <si>
    <t>C106200</t>
  </si>
  <si>
    <t>C76946</t>
  </si>
  <si>
    <t>C964822</t>
  </si>
  <si>
    <t>C256262</t>
  </si>
  <si>
    <t>C185484</t>
  </si>
  <si>
    <t>C701182</t>
  </si>
  <si>
    <t>C3151730</t>
  </si>
  <si>
    <t>C60491</t>
  </si>
  <si>
    <t>C313354</t>
  </si>
  <si>
    <t>C190095</t>
  </si>
  <si>
    <t>C137992</t>
  </si>
  <si>
    <t>C2886627</t>
  </si>
  <si>
    <t>C3038668</t>
  </si>
  <si>
    <t>C2975362</t>
  </si>
  <si>
    <t>18pF</t>
  </si>
  <si>
    <t>1uF</t>
  </si>
  <si>
    <t>220pF</t>
  </si>
  <si>
    <t>2.2uf</t>
  </si>
  <si>
    <t>4.7pF</t>
  </si>
  <si>
    <t>100pF</t>
  </si>
  <si>
    <t>10pF</t>
  </si>
  <si>
    <t>180nH</t>
  </si>
  <si>
    <t>27nH</t>
  </si>
  <si>
    <t>RED</t>
  </si>
  <si>
    <t>0R</t>
  </si>
  <si>
    <t>100K</t>
  </si>
  <si>
    <t>300K</t>
  </si>
  <si>
    <t>1K</t>
  </si>
  <si>
    <t>10K</t>
  </si>
  <si>
    <t>3.3K</t>
  </si>
  <si>
    <t>13.56MHz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</si>
  <si>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</si>
  <si>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</si>
  <si>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</si>
  <si>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</si>
  <si>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</si>
  <si>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</si>
  <si>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</si>
  <si>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</si>
  <si>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</si>
  <si>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</si>
  <si>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LCSC</t>
  </si>
  <si>
    <t>-</t>
  </si>
  <si>
    <t>C124375</t>
  </si>
  <si>
    <t>C226739</t>
  </si>
  <si>
    <t>CC0402JRNPO8BN221</t>
  </si>
  <si>
    <t>C541367</t>
  </si>
  <si>
    <t>AC0402FR-07300KL</t>
  </si>
  <si>
    <t>C144769</t>
  </si>
  <si>
    <t>B-2100S02P-A110</t>
  </si>
  <si>
    <t>Peripheral</t>
  </si>
  <si>
    <t>Panasonic CR2032 3 Alkaline V Batteries</t>
  </si>
  <si>
    <t>Battery Cell</t>
  </si>
  <si>
    <t>Panasonic</t>
  </si>
  <si>
    <t>Aliexpress</t>
  </si>
  <si>
    <t>Bill of Materials for Project [Transmitter_v1.0.]</t>
  </si>
  <si>
    <t>Transmitter_v1.0.]</t>
  </si>
  <si>
    <t>AC0402JRNPO9BN180</t>
  </si>
  <si>
    <t>GRT155R61E105KE01D</t>
  </si>
  <si>
    <t>GRT155R61E225KE13D</t>
  </si>
  <si>
    <t>CL05C4R7CB51PNC</t>
  </si>
  <si>
    <t>GRT1555C1H101JA02D</t>
  </si>
  <si>
    <t>CL05C100JB51PNC</t>
  </si>
  <si>
    <t>ERJ-H2G0R00X</t>
  </si>
  <si>
    <t>RESISTOR 0402 JUMPER ZERO OHM</t>
  </si>
  <si>
    <t>CRCW0402100KFKED</t>
  </si>
  <si>
    <t>CRCW0402300KFKED</t>
  </si>
  <si>
    <t>Automotive already</t>
  </si>
  <si>
    <t>CRCW040210K0FKEE</t>
  </si>
  <si>
    <t>CRCW04023K30FKEDC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</si>
</sst>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2" fillId="0" borderId="0" xfId="1"/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AC0402FR-070RL_C226739.html" TargetMode="External"/><Relationship Id="rId18" Type="http://schemas.openxmlformats.org/officeDocument/2006/relationships/hyperlink" Target="https://www.lcsc.com/product-detail/RF-Transceiver-ICs_WF-WF4455TD-AS6T-LG_C2886627.html" TargetMode="External"/><Relationship Id="rId26" Type="http://schemas.openxmlformats.org/officeDocument/2006/relationships/hyperlink" Target="https://www.lcsc.com/product-detail/Multilayer-Ceramic-Capacitors-MLCC-SMD-SMT_Murata-Electronics-GRT155R61E225KE13D_C711086.html" TargetMode="External"/><Relationship Id="rId3" Type="http://schemas.openxmlformats.org/officeDocument/2006/relationships/hyperlink" Target="https://www.lcsc.com/product-detail/Multilayer-Ceramic-Capacitors-MLCC-SMD-SMT_Murata-Electronics-GRM155R61E225KE11D_C385032.html" TargetMode="External"/><Relationship Id="rId21" Type="http://schemas.openxmlformats.org/officeDocument/2006/relationships/hyperlink" Target="https://www.lcsc.com/product-detail/Multilayer-Ceramic-Capacitors-MLCC-SMD-SMT_YAGEO-CC0402JRNPO8BN221_C541367.html" TargetMode="External"/><Relationship Id="rId34" Type="http://schemas.openxmlformats.org/officeDocument/2006/relationships/hyperlink" Target="https://www.lcsc.com/product-detail/Chip-Resistor-Surface-Mount_Vishay-Intertech-CRCW04023K30FKEDC_C5224103.html" TargetMode="External"/><Relationship Id="rId7" Type="http://schemas.openxmlformats.org/officeDocument/2006/relationships/hyperlink" Target="https://www.lcsc.com/product-detail/Battery-Connectors_MYOUNG-MY-2032-02_C964822.html" TargetMode="External"/><Relationship Id="rId12" Type="http://schemas.openxmlformats.org/officeDocument/2006/relationships/hyperlink" Target="https://www.lcsc.com/product-detail/Light-Emitting-Diodes-LED_Foshan-NationStar-Optoelectronics-NCD0603R3_C3151730.html" TargetMode="External"/><Relationship Id="rId17" Type="http://schemas.openxmlformats.org/officeDocument/2006/relationships/hyperlink" Target="https://www.lcsc.com/product-detail/Chip-Resistor-Surface-Mount_YAGEO-RC0402FR-073K3L_C137992.html" TargetMode="External"/><Relationship Id="rId25" Type="http://schemas.openxmlformats.org/officeDocument/2006/relationships/hyperlink" Target="https://www.lcsc.com/product-detail/Multilayer-Ceramic-Capacitors-MLCC-SMD-SMT_Murata-Electronics-GRT155R61E105KE01D_C711085.html" TargetMode="External"/><Relationship Id="rId33" Type="http://schemas.openxmlformats.org/officeDocument/2006/relationships/hyperlink" Target="https://www.lcsc.com/product-detail/Chip-Resistor-Surface-Mount_Vishay-Intertech-CRCW040210K0FKEE_C843837.html" TargetMode="External"/><Relationship Id="rId2" Type="http://schemas.openxmlformats.org/officeDocument/2006/relationships/hyperlink" Target="https://www.lcsc.com/product-detail/Multilayer-Ceramic-Capacitors-MLCC-SMD-SMT_YAGEO-CC0402KRX5R8BB105_C326568.html" TargetMode="External"/><Relationship Id="rId16" Type="http://schemas.openxmlformats.org/officeDocument/2006/relationships/hyperlink" Target="https://www.lcsc.com/product-detail/Chip-Resistor-Surface-Mount_YAGEO-RT0402BRD0710KL_C190095.html" TargetMode="External"/><Relationship Id="rId20" Type="http://schemas.openxmlformats.org/officeDocument/2006/relationships/hyperlink" Target="https://www.lcsc.com/product-detail/Crystals_SST-13-560M-20PF-10PPM_C2975362.html" TargetMode="External"/><Relationship Id="rId29" Type="http://schemas.openxmlformats.org/officeDocument/2006/relationships/hyperlink" Target="https://www.lcsc.com/product-detail/Multilayer-Ceramic-Capacitors-MLCC-SMD-SMT_Samsung-Electro-Mechanics-CL05C100JB51PNC_C346182.html" TargetMode="External"/><Relationship Id="rId1" Type="http://schemas.openxmlformats.org/officeDocument/2006/relationships/hyperlink" Target="https://www.lcsc.com/product-detail/Multilayer-Ceramic-Capacitors-MLCC-SMD-SMT_Murata-Electronics-GCM1555C1H180GA16D_C882583.html" TargetMode="External"/><Relationship Id="rId6" Type="http://schemas.openxmlformats.org/officeDocument/2006/relationships/hyperlink" Target="https://www.lcsc.com/product-detail/Multilayer-Ceramic-Capacitors-MLCC-SMD-SMT_Murata-Electronics-GRM1555C1H100JA01D_C76946.html" TargetMode="External"/><Relationship Id="rId11" Type="http://schemas.openxmlformats.org/officeDocument/2006/relationships/hyperlink" Target="https://www.lcsc.com/product-detail/Inductors-SMD_Murata-Electronics-LQG15HSR18J02D_C185484.html" TargetMode="External"/><Relationship Id="rId24" Type="http://schemas.openxmlformats.org/officeDocument/2006/relationships/hyperlink" Target="https://www.lcsc.com/product-detail/Multilayer-Ceramic-Capacitors-MLCC-SMD-SMT_YAGEO-AC0402JRNPO9BN180_C726122.html" TargetMode="External"/><Relationship Id="rId32" Type="http://schemas.openxmlformats.org/officeDocument/2006/relationships/hyperlink" Target="https://www.lcsc.com/product-detail/Chip-Resistor-Surface-Mount_Vishay-Intertech-CRCW0402300KFKED_C482141.html" TargetMode="External"/><Relationship Id="rId5" Type="http://schemas.openxmlformats.org/officeDocument/2006/relationships/hyperlink" Target="https://www.lcsc.com/product-detail/Multilayer-Ceramic-Capacitors-MLCC-SMD-SMT_YAGEO-CC0402JRNPO9BN101_C106200.html" TargetMode="External"/><Relationship Id="rId15" Type="http://schemas.openxmlformats.org/officeDocument/2006/relationships/hyperlink" Target="https://www.lcsc.com/product-detail/Chip-Resistor-Surface-Mount_Vishay-Intertech-CRCW04021K00FKEDHP_C313354.html" TargetMode="External"/><Relationship Id="rId23" Type="http://schemas.openxmlformats.org/officeDocument/2006/relationships/hyperlink" Target="https://vi.aliexpress.com/item/1005006109156227.html?spm=a2g0o.productlist.main.19.fe37733510rexF&amp;algo_pvid=582a6a16-4823-48ff-a288-215a4bf88a48&amp;aem_p4p_detail=202312060702536229146180776740000070037&amp;algo_exp_id=582a6a16-4823-48ff-a288-215a4bf88a48-9&amp;pdp_" TargetMode="External"/><Relationship Id="rId28" Type="http://schemas.openxmlformats.org/officeDocument/2006/relationships/hyperlink" Target="https://www.lcsc.com/product-detail/Multilayer-Ceramic-Capacitors-MLCC-SMD-SMT_Murata-Electronics-GRT1555C1H101JA02D_C711072.html" TargetMode="External"/><Relationship Id="rId36" Type="http://schemas.openxmlformats.org/officeDocument/2006/relationships/drawing" Target="../drawings/drawing1.xml"/><Relationship Id="rId10" Type="http://schemas.openxmlformats.org/officeDocument/2006/relationships/hyperlink" Target="https://www.lcsc.com/product-detail/Metal-Dome-Pot_HYP-Hongyuan-Precision-600-508S-160_C256262.html" TargetMode="External"/><Relationship Id="rId19" Type="http://schemas.openxmlformats.org/officeDocument/2006/relationships/hyperlink" Target="https://www.lcsc.com/product-detail/Interface-Specialized_WL-L1527_C3038668.html" TargetMode="External"/><Relationship Id="rId31" Type="http://schemas.openxmlformats.org/officeDocument/2006/relationships/hyperlink" Target="https://www.lcsc.com/product-detail/Chip-Resistor-Surface-Mount_PANASONIC-ERJ-H2G0R00X_C4105840.html" TargetMode="External"/><Relationship Id="rId4" Type="http://schemas.openxmlformats.org/officeDocument/2006/relationships/hyperlink" Target="https://www.lcsc.com/product-detail/Multilayer-Ceramic-Capacitors-MLCC-SMD-SMT_YAGEO-CC0402BRNPO9BN4R7_C325453.html" TargetMode="External"/><Relationship Id="rId9" Type="http://schemas.openxmlformats.org/officeDocument/2006/relationships/hyperlink" Target="https://www.lcsc.com/product-detail/Power-Inductors_Murata-Electronics-LQW18AN27NG10D_C701182.html" TargetMode="External"/><Relationship Id="rId14" Type="http://schemas.openxmlformats.org/officeDocument/2006/relationships/hyperlink" Target="https://www.lcsc.com/product-detail/Chip-Resistor-Surface-Mount_YAGEO-RC0402FR-07100KL_C60491.html" TargetMode="External"/><Relationship Id="rId22" Type="http://schemas.openxmlformats.org/officeDocument/2006/relationships/hyperlink" Target="https://www.lcsc.com/product-detail/Chip-span-style-background-color-ff0-Resistor-span-Surface-Mount_YAGEO-AC0402FR-07300KL_C144769.html" TargetMode="External"/><Relationship Id="rId27" Type="http://schemas.openxmlformats.org/officeDocument/2006/relationships/hyperlink" Target="https://www.lcsc.com/product-detail/Multilayer-Ceramic-Capacitors-MLCC-SMD-SMT_Samsung-Electro-Mechanics-CL05C4R7CB51PNC_C2976450.html" TargetMode="External"/><Relationship Id="rId30" Type="http://schemas.openxmlformats.org/officeDocument/2006/relationships/hyperlink" Target="https://www.lcsc.com/product-detail/Chip-Resistor-Surface-Mount_Vishay-Intertech-CRCW0402100KFKED_C481918.html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lcsc.com/product-detail/Pin-Headers_Ckmtw-Shenzhen-Cankemeng-B-2100S02P-A110_C12437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34"/>
  <sheetViews>
    <sheetView tabSelected="1" topLeftCell="G10" workbookViewId="0">
      <selection activeCell="R39" sqref="R39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8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0.5703125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  <col min="21" max="21" width="20.140625" bestFit="1" customWidth="1"/>
  </cols>
  <sheetData>
    <row r="1" spans="1:22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6"/>
      <c r="L1" s="66"/>
      <c r="M1" s="66"/>
      <c r="N1" s="66"/>
      <c r="O1" s="66"/>
      <c r="P1" s="66"/>
      <c r="Q1" s="66"/>
      <c r="R1" s="66"/>
      <c r="S1" s="67"/>
    </row>
    <row r="2" spans="1:22" ht="32.25" thickBot="1" x14ac:dyDescent="0.3">
      <c r="A2" s="1"/>
      <c r="B2" s="21"/>
      <c r="C2" s="31"/>
      <c r="D2" s="11" t="s">
        <v>0</v>
      </c>
      <c r="E2" s="11"/>
      <c r="F2" s="55" t="s">
        <v>167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22" x14ac:dyDescent="0.25">
      <c r="A3" s="1"/>
      <c r="B3" s="22"/>
      <c r="C3" s="32"/>
      <c r="D3" s="13" t="s">
        <v>1</v>
      </c>
      <c r="E3" s="13"/>
      <c r="F3" s="56" t="s">
        <v>168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8"/>
    </row>
    <row r="4" spans="1:22" x14ac:dyDescent="0.25">
      <c r="A4" s="1"/>
      <c r="B4" s="22"/>
      <c r="C4" s="32"/>
      <c r="D4" s="13" t="s">
        <v>2</v>
      </c>
      <c r="E4" s="13"/>
      <c r="F4" s="56" t="s">
        <v>168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9"/>
    </row>
    <row r="5" spans="1:22" x14ac:dyDescent="0.25">
      <c r="A5" s="1"/>
      <c r="B5" s="22"/>
      <c r="C5" s="32"/>
      <c r="D5" s="13" t="s">
        <v>3</v>
      </c>
      <c r="E5" s="13"/>
      <c r="F5" s="57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9"/>
    </row>
    <row r="6" spans="1:22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9"/>
    </row>
    <row r="7" spans="1:22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9"/>
    </row>
    <row r="8" spans="1:22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9"/>
    </row>
    <row r="9" spans="1:22" ht="15.75" thickBot="1" x14ac:dyDescent="0.3">
      <c r="A9" s="1"/>
      <c r="B9" s="30" t="s">
        <v>4</v>
      </c>
      <c r="C9" s="30" t="s">
        <v>8</v>
      </c>
      <c r="D9" s="30" t="s">
        <v>18</v>
      </c>
      <c r="E9" s="30" t="s">
        <v>41</v>
      </c>
      <c r="F9" s="30" t="s">
        <v>63</v>
      </c>
      <c r="G9" s="30" t="s">
        <v>75</v>
      </c>
      <c r="H9" s="30" t="s">
        <v>95</v>
      </c>
      <c r="I9" s="30" t="s">
        <v>144</v>
      </c>
      <c r="J9" s="30" t="s">
        <v>107</v>
      </c>
      <c r="K9" s="30" t="s">
        <v>145</v>
      </c>
      <c r="L9" s="30" t="s">
        <v>143</v>
      </c>
      <c r="M9" s="30" t="s">
        <v>146</v>
      </c>
      <c r="N9" s="30" t="s">
        <v>147</v>
      </c>
      <c r="O9" s="30" t="s">
        <v>148</v>
      </c>
      <c r="P9" s="30" t="s">
        <v>149</v>
      </c>
      <c r="Q9" s="30" t="s">
        <v>150</v>
      </c>
      <c r="R9" s="30" t="s">
        <v>151</v>
      </c>
      <c r="S9" s="30" t="s">
        <v>152</v>
      </c>
    </row>
    <row r="10" spans="1:22" x14ac:dyDescent="0.25">
      <c r="A10" s="1"/>
      <c r="B10" s="46">
        <f>ROW(B10) - ROW($B$9)</f>
        <v>1</v>
      </c>
      <c r="C10" s="53" t="s">
        <v>9</v>
      </c>
      <c r="D10" s="37" t="s">
        <v>19</v>
      </c>
      <c r="E10" s="37" t="s">
        <v>42</v>
      </c>
      <c r="F10" s="37" t="s">
        <v>64</v>
      </c>
      <c r="G10" s="37" t="s">
        <v>76</v>
      </c>
      <c r="H10" s="37" t="s">
        <v>96</v>
      </c>
      <c r="I10" s="37" t="s">
        <v>154</v>
      </c>
      <c r="J10" s="37" t="s">
        <v>108</v>
      </c>
      <c r="K10" s="37" t="s">
        <v>126</v>
      </c>
      <c r="L10" s="37">
        <v>2</v>
      </c>
      <c r="M10" s="37">
        <f>L10*5</f>
        <v>10</v>
      </c>
      <c r="N10" s="37">
        <v>20</v>
      </c>
      <c r="O10" s="59" t="s">
        <v>153</v>
      </c>
      <c r="P10" s="38">
        <v>2.3699999999999999E-2</v>
      </c>
      <c r="Q10" s="38">
        <f>P10*N10</f>
        <v>0.47399999999999998</v>
      </c>
      <c r="R10" s="37"/>
      <c r="S10" s="50"/>
      <c r="U10" t="s">
        <v>169</v>
      </c>
      <c r="V10" s="65" t="s">
        <v>153</v>
      </c>
    </row>
    <row r="11" spans="1:22" x14ac:dyDescent="0.25">
      <c r="A11" s="1"/>
      <c r="B11" s="47">
        <f t="shared" ref="B11:B32" si="0">ROW(B11) - ROW($B$9)</f>
        <v>2</v>
      </c>
      <c r="C11" s="54" t="s">
        <v>9</v>
      </c>
      <c r="D11" s="51" t="s">
        <v>20</v>
      </c>
      <c r="E11" s="51" t="s">
        <v>43</v>
      </c>
      <c r="F11" s="51" t="s">
        <v>64</v>
      </c>
      <c r="G11" s="51" t="s">
        <v>77</v>
      </c>
      <c r="H11" s="51" t="s">
        <v>97</v>
      </c>
      <c r="I11" s="51" t="s">
        <v>154</v>
      </c>
      <c r="J11" s="51" t="s">
        <v>109</v>
      </c>
      <c r="K11" s="51" t="s">
        <v>127</v>
      </c>
      <c r="L11" s="51">
        <v>1</v>
      </c>
      <c r="M11" s="51">
        <f t="shared" ref="M11" si="1">L11*5</f>
        <v>5</v>
      </c>
      <c r="N11" s="51">
        <v>50</v>
      </c>
      <c r="O11" s="60" t="s">
        <v>153</v>
      </c>
      <c r="P11" s="52">
        <v>7.3000000000000001E-3</v>
      </c>
      <c r="Q11" s="52">
        <f t="shared" ref="Q11" si="2">P11*N11</f>
        <v>0.36499999999999999</v>
      </c>
      <c r="R11" s="51"/>
      <c r="S11" s="51"/>
      <c r="U11" t="s">
        <v>170</v>
      </c>
      <c r="V11" s="65" t="s">
        <v>153</v>
      </c>
    </row>
    <row r="12" spans="1:22" x14ac:dyDescent="0.25">
      <c r="A12" s="1"/>
      <c r="B12" s="46">
        <f>ROW(B12) - ROW($B$9)</f>
        <v>3</v>
      </c>
      <c r="C12" s="54" t="s">
        <v>9</v>
      </c>
      <c r="D12" s="37" t="s">
        <v>21</v>
      </c>
      <c r="E12" s="37" t="s">
        <v>44</v>
      </c>
      <c r="F12" s="37" t="s">
        <v>64</v>
      </c>
      <c r="G12" s="61" t="s">
        <v>78</v>
      </c>
      <c r="H12" s="37" t="s">
        <v>98</v>
      </c>
      <c r="I12" s="37" t="s">
        <v>157</v>
      </c>
      <c r="J12" s="37" t="s">
        <v>158</v>
      </c>
      <c r="K12" s="37" t="s">
        <v>128</v>
      </c>
      <c r="L12" s="37">
        <v>1</v>
      </c>
      <c r="M12" s="37">
        <f>L12*5</f>
        <v>5</v>
      </c>
      <c r="N12" s="37">
        <v>100</v>
      </c>
      <c r="O12" s="59" t="s">
        <v>153</v>
      </c>
      <c r="P12" s="38">
        <v>2.2000000000000001E-3</v>
      </c>
      <c r="Q12" s="38">
        <f>P12*N12</f>
        <v>0.22</v>
      </c>
      <c r="R12" s="37"/>
      <c r="S12" s="58"/>
      <c r="V12" t="s">
        <v>153</v>
      </c>
    </row>
    <row r="13" spans="1:22" x14ac:dyDescent="0.25">
      <c r="A13" s="1"/>
      <c r="B13" s="47">
        <f t="shared" si="0"/>
        <v>4</v>
      </c>
      <c r="C13" s="54" t="s">
        <v>9</v>
      </c>
      <c r="D13" s="51" t="s">
        <v>22</v>
      </c>
      <c r="E13" s="51" t="s">
        <v>45</v>
      </c>
      <c r="F13" s="51" t="s">
        <v>64</v>
      </c>
      <c r="G13" s="51" t="s">
        <v>79</v>
      </c>
      <c r="H13" s="51" t="s">
        <v>96</v>
      </c>
      <c r="I13" s="51" t="s">
        <v>154</v>
      </c>
      <c r="J13" s="51" t="s">
        <v>110</v>
      </c>
      <c r="K13" s="51" t="s">
        <v>129</v>
      </c>
      <c r="L13" s="51">
        <v>1</v>
      </c>
      <c r="M13" s="51">
        <f t="shared" ref="M13" si="3">L13*5</f>
        <v>5</v>
      </c>
      <c r="N13" s="51">
        <v>20</v>
      </c>
      <c r="O13" s="60" t="s">
        <v>153</v>
      </c>
      <c r="P13" s="52">
        <v>2.1399999999999999E-2</v>
      </c>
      <c r="Q13" s="52">
        <f t="shared" ref="Q13" si="4">P13*N13</f>
        <v>0.42799999999999999</v>
      </c>
      <c r="R13" s="51"/>
      <c r="S13" s="58"/>
      <c r="U13" t="s">
        <v>171</v>
      </c>
      <c r="V13" s="65" t="s">
        <v>153</v>
      </c>
    </row>
    <row r="14" spans="1:22" x14ac:dyDescent="0.25">
      <c r="A14" s="1"/>
      <c r="B14" s="46">
        <f>ROW(B14) - ROW($B$9)</f>
        <v>5</v>
      </c>
      <c r="C14" s="53" t="s">
        <v>9</v>
      </c>
      <c r="D14" s="37" t="s">
        <v>23</v>
      </c>
      <c r="E14" s="37" t="s">
        <v>46</v>
      </c>
      <c r="F14" s="37" t="s">
        <v>64</v>
      </c>
      <c r="G14" s="37" t="s">
        <v>80</v>
      </c>
      <c r="H14" s="37" t="s">
        <v>97</v>
      </c>
      <c r="I14" s="37" t="s">
        <v>154</v>
      </c>
      <c r="J14" s="37" t="s">
        <v>111</v>
      </c>
      <c r="K14" s="37" t="s">
        <v>130</v>
      </c>
      <c r="L14" s="37">
        <v>1</v>
      </c>
      <c r="M14" s="37">
        <f>L14*5</f>
        <v>5</v>
      </c>
      <c r="N14" s="37">
        <v>100</v>
      </c>
      <c r="O14" s="59" t="s">
        <v>153</v>
      </c>
      <c r="P14" s="38">
        <v>2.3999999999999998E-3</v>
      </c>
      <c r="Q14" s="38">
        <f>P14*N14</f>
        <v>0.24</v>
      </c>
      <c r="R14" s="37"/>
      <c r="S14" s="58"/>
      <c r="U14" t="s">
        <v>172</v>
      </c>
      <c r="V14" s="65" t="s">
        <v>153</v>
      </c>
    </row>
    <row r="15" spans="1:22" x14ac:dyDescent="0.25">
      <c r="A15" s="1"/>
      <c r="B15" s="47">
        <f t="shared" si="0"/>
        <v>6</v>
      </c>
      <c r="C15" s="54" t="s">
        <v>9</v>
      </c>
      <c r="D15" s="51" t="s">
        <v>24</v>
      </c>
      <c r="E15" s="51" t="s">
        <v>47</v>
      </c>
      <c r="F15" s="51" t="s">
        <v>64</v>
      </c>
      <c r="G15" s="51" t="s">
        <v>81</v>
      </c>
      <c r="H15" s="51" t="s">
        <v>97</v>
      </c>
      <c r="I15" s="51" t="s">
        <v>154</v>
      </c>
      <c r="J15" s="51" t="s">
        <v>112</v>
      </c>
      <c r="K15" s="51" t="s">
        <v>131</v>
      </c>
      <c r="L15" s="51">
        <v>1</v>
      </c>
      <c r="M15" s="51">
        <f t="shared" ref="M15" si="5">L15*5</f>
        <v>5</v>
      </c>
      <c r="N15" s="51">
        <v>100</v>
      </c>
      <c r="O15" s="60" t="s">
        <v>153</v>
      </c>
      <c r="P15" s="52">
        <v>1E-3</v>
      </c>
      <c r="Q15" s="52">
        <f t="shared" ref="Q15" si="6">P15*N15</f>
        <v>0.1</v>
      </c>
      <c r="R15" s="51"/>
      <c r="S15" s="58"/>
      <c r="U15" t="s">
        <v>173</v>
      </c>
      <c r="V15" s="65" t="s">
        <v>153</v>
      </c>
    </row>
    <row r="16" spans="1:22" x14ac:dyDescent="0.25">
      <c r="A16" s="1"/>
      <c r="B16" s="46">
        <f>ROW(B16) - ROW($B$9)</f>
        <v>7</v>
      </c>
      <c r="C16" s="53" t="s">
        <v>9</v>
      </c>
      <c r="D16" s="37" t="s">
        <v>25</v>
      </c>
      <c r="E16" s="37" t="s">
        <v>48</v>
      </c>
      <c r="F16" s="37" t="s">
        <v>64</v>
      </c>
      <c r="G16" s="37" t="s">
        <v>82</v>
      </c>
      <c r="H16" s="37" t="s">
        <v>96</v>
      </c>
      <c r="I16" s="37" t="s">
        <v>154</v>
      </c>
      <c r="J16" s="37" t="s">
        <v>113</v>
      </c>
      <c r="K16" s="37" t="s">
        <v>132</v>
      </c>
      <c r="L16" s="37">
        <v>1</v>
      </c>
      <c r="M16" s="37">
        <f>L16*5</f>
        <v>5</v>
      </c>
      <c r="N16" s="37">
        <v>100</v>
      </c>
      <c r="O16" s="59" t="s">
        <v>153</v>
      </c>
      <c r="P16" s="38">
        <v>2.2000000000000001E-3</v>
      </c>
      <c r="Q16" s="38">
        <f>P16*N16</f>
        <v>0.22</v>
      </c>
      <c r="R16" s="37"/>
      <c r="S16" s="58"/>
      <c r="U16" t="s">
        <v>174</v>
      </c>
      <c r="V16" s="65" t="s">
        <v>153</v>
      </c>
    </row>
    <row r="17" spans="1:22" ht="24" x14ac:dyDescent="0.25">
      <c r="A17" s="1"/>
      <c r="B17" s="47">
        <f t="shared" si="0"/>
        <v>8</v>
      </c>
      <c r="C17" s="54" t="s">
        <v>10</v>
      </c>
      <c r="D17" s="51" t="s">
        <v>26</v>
      </c>
      <c r="E17" s="51" t="s">
        <v>49</v>
      </c>
      <c r="F17" s="51" t="s">
        <v>65</v>
      </c>
      <c r="G17" s="51" t="s">
        <v>65</v>
      </c>
      <c r="H17" s="51" t="s">
        <v>99</v>
      </c>
      <c r="I17" s="51" t="s">
        <v>154</v>
      </c>
      <c r="J17" s="51" t="s">
        <v>114</v>
      </c>
      <c r="K17" s="51" t="s">
        <v>154</v>
      </c>
      <c r="L17" s="51">
        <v>1</v>
      </c>
      <c r="M17" s="51">
        <f t="shared" ref="M17" si="7">L17*5</f>
        <v>5</v>
      </c>
      <c r="N17" s="51">
        <v>10</v>
      </c>
      <c r="O17" s="60" t="s">
        <v>153</v>
      </c>
      <c r="P17" s="52">
        <v>9.5399999999999999E-2</v>
      </c>
      <c r="Q17" s="52">
        <f t="shared" ref="Q17" si="8">P17*N17</f>
        <v>0.95399999999999996</v>
      </c>
      <c r="R17" s="51"/>
      <c r="S17" s="58"/>
      <c r="V17" t="s">
        <v>153</v>
      </c>
    </row>
    <row r="18" spans="1:22" x14ac:dyDescent="0.25">
      <c r="A18" s="1"/>
      <c r="B18" s="46">
        <f>ROW(B18) - ROW($B$9)</f>
        <v>9</v>
      </c>
      <c r="C18" s="53" t="s">
        <v>11</v>
      </c>
      <c r="D18" s="37" t="s">
        <v>27</v>
      </c>
      <c r="E18" s="37" t="s">
        <v>50</v>
      </c>
      <c r="F18" s="37" t="s">
        <v>66</v>
      </c>
      <c r="G18" s="61">
        <v>8266292</v>
      </c>
      <c r="H18" s="37" t="s">
        <v>100</v>
      </c>
      <c r="I18" s="37" t="s">
        <v>161</v>
      </c>
      <c r="J18" s="37" t="s">
        <v>155</v>
      </c>
      <c r="K18" s="37" t="s">
        <v>154</v>
      </c>
      <c r="L18" s="37">
        <v>1</v>
      </c>
      <c r="M18" s="37">
        <f>L18*5</f>
        <v>5</v>
      </c>
      <c r="N18" s="37">
        <v>20</v>
      </c>
      <c r="O18" s="59" t="s">
        <v>153</v>
      </c>
      <c r="P18" s="38">
        <v>2.1999999999999999E-2</v>
      </c>
      <c r="Q18" s="38">
        <f>P18*N18</f>
        <v>0.43999999999999995</v>
      </c>
      <c r="R18" s="37"/>
      <c r="S18" s="58"/>
      <c r="V18" t="s">
        <v>153</v>
      </c>
    </row>
    <row r="19" spans="1:22" ht="24" x14ac:dyDescent="0.25">
      <c r="A19" s="1"/>
      <c r="B19" s="47">
        <f t="shared" si="0"/>
        <v>10</v>
      </c>
      <c r="C19" s="54" t="s">
        <v>12</v>
      </c>
      <c r="D19" s="51" t="s">
        <v>28</v>
      </c>
      <c r="E19" s="51" t="s">
        <v>51</v>
      </c>
      <c r="F19" s="51" t="s">
        <v>67</v>
      </c>
      <c r="G19" s="51" t="s">
        <v>67</v>
      </c>
      <c r="H19" s="51" t="s">
        <v>101</v>
      </c>
      <c r="I19" s="51" t="s">
        <v>154</v>
      </c>
      <c r="J19" s="51" t="s">
        <v>115</v>
      </c>
      <c r="K19" s="51"/>
      <c r="L19" s="51">
        <v>4</v>
      </c>
      <c r="M19" s="51">
        <f t="shared" ref="M19" si="9">L19*5</f>
        <v>20</v>
      </c>
      <c r="N19" s="51">
        <v>50</v>
      </c>
      <c r="O19" s="60" t="s">
        <v>153</v>
      </c>
      <c r="P19" s="52">
        <v>4.4999999999999997E-3</v>
      </c>
      <c r="Q19" s="52">
        <f t="shared" ref="Q19" si="10">P19*N19</f>
        <v>0.22499999999999998</v>
      </c>
      <c r="R19" s="51"/>
      <c r="S19" s="58"/>
      <c r="V19" t="s">
        <v>153</v>
      </c>
    </row>
    <row r="20" spans="1:22" x14ac:dyDescent="0.25">
      <c r="A20" s="1"/>
      <c r="B20" s="46">
        <f>ROW(B20) - ROW($B$9)</f>
        <v>11</v>
      </c>
      <c r="C20" s="53" t="s">
        <v>13</v>
      </c>
      <c r="D20" s="37" t="s">
        <v>29</v>
      </c>
      <c r="E20" s="37" t="s">
        <v>52</v>
      </c>
      <c r="F20" s="37" t="s">
        <v>68</v>
      </c>
      <c r="G20" s="37" t="s">
        <v>83</v>
      </c>
      <c r="H20" s="37" t="s">
        <v>96</v>
      </c>
      <c r="I20" s="37" t="s">
        <v>154</v>
      </c>
      <c r="J20" s="37" t="s">
        <v>116</v>
      </c>
      <c r="K20" s="37" t="s">
        <v>133</v>
      </c>
      <c r="L20" s="37">
        <v>1</v>
      </c>
      <c r="M20" s="37">
        <f>L20*5</f>
        <v>5</v>
      </c>
      <c r="N20" s="37">
        <v>50</v>
      </c>
      <c r="O20" s="59" t="s">
        <v>153</v>
      </c>
      <c r="P20" s="38">
        <v>8.8999999999999999E-3</v>
      </c>
      <c r="Q20" s="38">
        <f>P20*N20</f>
        <v>0.44500000000000001</v>
      </c>
      <c r="R20" s="37"/>
      <c r="S20" s="58"/>
      <c r="V20" t="s">
        <v>153</v>
      </c>
    </row>
    <row r="21" spans="1:22" ht="24" x14ac:dyDescent="0.25">
      <c r="A21" s="1"/>
      <c r="B21" s="47">
        <f t="shared" si="0"/>
        <v>12</v>
      </c>
      <c r="C21" s="54" t="s">
        <v>13</v>
      </c>
      <c r="D21" s="51" t="s">
        <v>30</v>
      </c>
      <c r="E21" s="51" t="s">
        <v>53</v>
      </c>
      <c r="F21" s="51" t="s">
        <v>69</v>
      </c>
      <c r="G21" s="51" t="s">
        <v>84</v>
      </c>
      <c r="H21" s="51" t="s">
        <v>96</v>
      </c>
      <c r="I21" s="51" t="s">
        <v>154</v>
      </c>
      <c r="J21" s="51" t="s">
        <v>117</v>
      </c>
      <c r="K21" s="51" t="s">
        <v>134</v>
      </c>
      <c r="L21" s="51">
        <v>1</v>
      </c>
      <c r="M21" s="51">
        <f t="shared" ref="M21" si="11">L21*5</f>
        <v>5</v>
      </c>
      <c r="N21" s="51">
        <v>10</v>
      </c>
      <c r="O21" s="60" t="s">
        <v>153</v>
      </c>
      <c r="P21" s="52">
        <v>5.5899999999999998E-2</v>
      </c>
      <c r="Q21" s="52">
        <f t="shared" ref="Q21" si="12">P21*N21</f>
        <v>0.55899999999999994</v>
      </c>
      <c r="R21" s="51"/>
      <c r="S21" s="58"/>
      <c r="V21" t="s">
        <v>153</v>
      </c>
    </row>
    <row r="22" spans="1:22" ht="24" x14ac:dyDescent="0.25">
      <c r="A22" s="1"/>
      <c r="B22" s="46">
        <f>ROW(B22) - ROW($B$9)</f>
        <v>13</v>
      </c>
      <c r="C22" s="53" t="s">
        <v>14</v>
      </c>
      <c r="D22" s="37" t="s">
        <v>31</v>
      </c>
      <c r="E22" s="37" t="s">
        <v>54</v>
      </c>
      <c r="F22" s="37" t="s">
        <v>70</v>
      </c>
      <c r="G22" s="37" t="s">
        <v>85</v>
      </c>
      <c r="H22" s="37" t="s">
        <v>102</v>
      </c>
      <c r="I22" s="37" t="s">
        <v>154</v>
      </c>
      <c r="J22" s="37" t="s">
        <v>118</v>
      </c>
      <c r="K22" s="37" t="s">
        <v>135</v>
      </c>
      <c r="L22" s="37">
        <v>1</v>
      </c>
      <c r="M22" s="37">
        <f>L22*5</f>
        <v>5</v>
      </c>
      <c r="N22" s="37">
        <v>20</v>
      </c>
      <c r="O22" s="59" t="s">
        <v>153</v>
      </c>
      <c r="P22" s="38">
        <v>2.0799999999999999E-2</v>
      </c>
      <c r="Q22" s="38">
        <f>P22*N22</f>
        <v>0.41599999999999998</v>
      </c>
      <c r="R22" s="37"/>
      <c r="S22" s="58"/>
      <c r="V22" t="s">
        <v>153</v>
      </c>
    </row>
    <row r="23" spans="1:22" x14ac:dyDescent="0.25">
      <c r="A23" s="1"/>
      <c r="B23" s="47">
        <f t="shared" si="0"/>
        <v>14</v>
      </c>
      <c r="C23" s="54" t="s">
        <v>15</v>
      </c>
      <c r="D23" s="51" t="s">
        <v>32</v>
      </c>
      <c r="E23" s="51" t="s">
        <v>176</v>
      </c>
      <c r="F23" s="51" t="s">
        <v>71</v>
      </c>
      <c r="G23" s="51" t="s">
        <v>86</v>
      </c>
      <c r="H23" s="51" t="s">
        <v>97</v>
      </c>
      <c r="I23" s="51" t="s">
        <v>154</v>
      </c>
      <c r="J23" s="51" t="s">
        <v>156</v>
      </c>
      <c r="K23" s="51" t="s">
        <v>136</v>
      </c>
      <c r="L23" s="51">
        <v>2</v>
      </c>
      <c r="M23" s="51">
        <f t="shared" ref="M23" si="13">L23*5</f>
        <v>10</v>
      </c>
      <c r="N23" s="51">
        <v>100</v>
      </c>
      <c r="O23" s="60" t="s">
        <v>153</v>
      </c>
      <c r="P23" s="52">
        <v>1E-3</v>
      </c>
      <c r="Q23" s="52">
        <f t="shared" ref="Q23" si="14">P23*N23</f>
        <v>0.1</v>
      </c>
      <c r="R23" s="51"/>
      <c r="S23" s="58"/>
      <c r="U23" t="s">
        <v>175</v>
      </c>
      <c r="V23" s="65" t="s">
        <v>153</v>
      </c>
    </row>
    <row r="24" spans="1:22" x14ac:dyDescent="0.25">
      <c r="A24" s="1"/>
      <c r="B24" s="46">
        <f>ROW(B24) - ROW($B$9)</f>
        <v>15</v>
      </c>
      <c r="C24" s="53" t="s">
        <v>15</v>
      </c>
      <c r="D24" s="37" t="s">
        <v>33</v>
      </c>
      <c r="E24" s="37" t="s">
        <v>55</v>
      </c>
      <c r="F24" s="37" t="s">
        <v>71</v>
      </c>
      <c r="G24" s="37" t="s">
        <v>87</v>
      </c>
      <c r="H24" s="37" t="s">
        <v>97</v>
      </c>
      <c r="I24" s="37" t="s">
        <v>154</v>
      </c>
      <c r="J24" s="37" t="s">
        <v>119</v>
      </c>
      <c r="K24" s="37" t="s">
        <v>137</v>
      </c>
      <c r="L24" s="37">
        <v>1</v>
      </c>
      <c r="M24" s="37">
        <f>L24*5</f>
        <v>5</v>
      </c>
      <c r="N24" s="37">
        <v>100</v>
      </c>
      <c r="O24" s="59" t="s">
        <v>153</v>
      </c>
      <c r="P24" s="38">
        <v>5.9999999999999995E-4</v>
      </c>
      <c r="Q24" s="38">
        <f>P24*N24</f>
        <v>0.06</v>
      </c>
      <c r="R24" s="37"/>
      <c r="S24" s="58"/>
      <c r="U24" t="s">
        <v>177</v>
      </c>
      <c r="V24" s="65" t="s">
        <v>153</v>
      </c>
    </row>
    <row r="25" spans="1:22" x14ac:dyDescent="0.25">
      <c r="A25" s="1"/>
      <c r="B25" s="47">
        <f t="shared" si="0"/>
        <v>16</v>
      </c>
      <c r="C25" s="53" t="s">
        <v>15</v>
      </c>
      <c r="D25" s="51" t="s">
        <v>34</v>
      </c>
      <c r="E25" s="51" t="s">
        <v>56</v>
      </c>
      <c r="F25" s="51" t="s">
        <v>71</v>
      </c>
      <c r="G25" s="62" t="s">
        <v>88</v>
      </c>
      <c r="H25" s="51" t="s">
        <v>103</v>
      </c>
      <c r="I25" s="51" t="s">
        <v>159</v>
      </c>
      <c r="J25" s="51" t="s">
        <v>160</v>
      </c>
      <c r="K25" s="51" t="s">
        <v>138</v>
      </c>
      <c r="L25" s="51">
        <v>1</v>
      </c>
      <c r="M25" s="51">
        <f t="shared" ref="M25" si="15">L25*5</f>
        <v>5</v>
      </c>
      <c r="N25" s="51">
        <v>100</v>
      </c>
      <c r="O25" s="60" t="s">
        <v>153</v>
      </c>
      <c r="P25" s="52">
        <v>1.1000000000000001E-3</v>
      </c>
      <c r="Q25" s="52">
        <f t="shared" ref="Q25" si="16">P25*N25</f>
        <v>0.11</v>
      </c>
      <c r="R25" s="51"/>
      <c r="S25" s="58"/>
      <c r="U25" t="s">
        <v>178</v>
      </c>
      <c r="V25" s="65" t="s">
        <v>153</v>
      </c>
    </row>
    <row r="26" spans="1:22" x14ac:dyDescent="0.25">
      <c r="A26" s="1"/>
      <c r="B26" s="46">
        <f>ROW(B26) - ROW($B$9)</f>
        <v>17</v>
      </c>
      <c r="C26" s="53" t="s">
        <v>15</v>
      </c>
      <c r="D26" s="37" t="s">
        <v>35</v>
      </c>
      <c r="E26" s="37" t="s">
        <v>57</v>
      </c>
      <c r="F26" s="37" t="s">
        <v>71</v>
      </c>
      <c r="G26" s="37" t="s">
        <v>89</v>
      </c>
      <c r="H26" s="37" t="s">
        <v>103</v>
      </c>
      <c r="I26" s="37" t="s">
        <v>154</v>
      </c>
      <c r="J26" s="37" t="s">
        <v>120</v>
      </c>
      <c r="K26" s="37" t="s">
        <v>139</v>
      </c>
      <c r="L26" s="37">
        <v>1</v>
      </c>
      <c r="M26" s="37">
        <f>L26*5</f>
        <v>5</v>
      </c>
      <c r="N26" s="37">
        <v>20</v>
      </c>
      <c r="O26" s="59" t="s">
        <v>153</v>
      </c>
      <c r="P26" s="38">
        <v>3.3300000000000003E-2</v>
      </c>
      <c r="Q26" s="38">
        <f>P26*N26</f>
        <v>0.66600000000000004</v>
      </c>
      <c r="R26" s="37"/>
      <c r="S26" s="58"/>
      <c r="U26" t="s">
        <v>179</v>
      </c>
      <c r="V26" t="s">
        <v>153</v>
      </c>
    </row>
    <row r="27" spans="1:22" x14ac:dyDescent="0.25">
      <c r="A27" s="1"/>
      <c r="B27" s="47">
        <f t="shared" si="0"/>
        <v>18</v>
      </c>
      <c r="C27" s="54" t="s">
        <v>15</v>
      </c>
      <c r="D27" s="51" t="s">
        <v>36</v>
      </c>
      <c r="E27" s="51" t="s">
        <v>58</v>
      </c>
      <c r="F27" s="51" t="s">
        <v>71</v>
      </c>
      <c r="G27" s="51" t="s">
        <v>90</v>
      </c>
      <c r="H27" s="51" t="s">
        <v>97</v>
      </c>
      <c r="I27" s="51" t="s">
        <v>154</v>
      </c>
      <c r="J27" s="51" t="s">
        <v>121</v>
      </c>
      <c r="K27" s="51" t="s">
        <v>140</v>
      </c>
      <c r="L27" s="51">
        <v>1</v>
      </c>
      <c r="M27" s="51">
        <f t="shared" ref="M27" si="17">L27*5</f>
        <v>5</v>
      </c>
      <c r="N27" s="51">
        <v>20</v>
      </c>
      <c r="O27" s="60" t="s">
        <v>153</v>
      </c>
      <c r="P27" s="52">
        <v>0.02</v>
      </c>
      <c r="Q27" s="52">
        <f t="shared" ref="Q27" si="18">P27*N27</f>
        <v>0.4</v>
      </c>
      <c r="R27" s="51"/>
      <c r="S27" s="58"/>
      <c r="U27" t="s">
        <v>180</v>
      </c>
      <c r="V27" s="65" t="s">
        <v>153</v>
      </c>
    </row>
    <row r="28" spans="1:22" x14ac:dyDescent="0.25">
      <c r="A28" s="1"/>
      <c r="B28" s="46">
        <f>ROW(B28) - ROW($B$9)</f>
        <v>19</v>
      </c>
      <c r="C28" s="53" t="s">
        <v>15</v>
      </c>
      <c r="D28" s="37" t="s">
        <v>37</v>
      </c>
      <c r="E28" s="37" t="s">
        <v>59</v>
      </c>
      <c r="F28" s="37" t="s">
        <v>71</v>
      </c>
      <c r="G28" s="37" t="s">
        <v>91</v>
      </c>
      <c r="H28" s="37" t="s">
        <v>97</v>
      </c>
      <c r="I28" s="37" t="s">
        <v>154</v>
      </c>
      <c r="J28" s="37" t="s">
        <v>122</v>
      </c>
      <c r="K28" s="37" t="s">
        <v>141</v>
      </c>
      <c r="L28" s="37">
        <v>1</v>
      </c>
      <c r="M28" s="37">
        <f>L28*5</f>
        <v>5</v>
      </c>
      <c r="N28" s="37">
        <v>100</v>
      </c>
      <c r="O28" s="59" t="s">
        <v>153</v>
      </c>
      <c r="P28" s="38">
        <v>6.9999999999999999E-4</v>
      </c>
      <c r="Q28" s="38">
        <f>P28*N28</f>
        <v>6.9999999999999993E-2</v>
      </c>
      <c r="R28" s="37"/>
      <c r="S28" s="58"/>
      <c r="U28" t="s">
        <v>181</v>
      </c>
      <c r="V28" s="65" t="s">
        <v>153</v>
      </c>
    </row>
    <row r="29" spans="1:22" x14ac:dyDescent="0.25">
      <c r="A29" s="1"/>
      <c r="B29" s="47">
        <f t="shared" si="0"/>
        <v>20</v>
      </c>
      <c r="C29" s="54" t="s">
        <v>16</v>
      </c>
      <c r="D29" s="51" t="s">
        <v>38</v>
      </c>
      <c r="E29" s="51" t="s">
        <v>60</v>
      </c>
      <c r="F29" s="51" t="s">
        <v>72</v>
      </c>
      <c r="G29" s="51" t="s">
        <v>92</v>
      </c>
      <c r="H29" s="51" t="s">
        <v>104</v>
      </c>
      <c r="I29" s="51" t="s">
        <v>154</v>
      </c>
      <c r="J29" s="51" t="s">
        <v>123</v>
      </c>
      <c r="K29" s="51" t="s">
        <v>154</v>
      </c>
      <c r="L29" s="51">
        <v>1</v>
      </c>
      <c r="M29" s="51">
        <f t="shared" ref="M29" si="19">L29*5</f>
        <v>5</v>
      </c>
      <c r="N29" s="51">
        <v>10</v>
      </c>
      <c r="O29" s="60" t="s">
        <v>153</v>
      </c>
      <c r="P29" s="52">
        <v>9.98E-2</v>
      </c>
      <c r="Q29" s="52">
        <f t="shared" ref="Q29" si="20">P29*N29</f>
        <v>0.998</v>
      </c>
      <c r="R29" s="51"/>
      <c r="S29" s="58"/>
      <c r="V29" t="s">
        <v>153</v>
      </c>
    </row>
    <row r="30" spans="1:22" x14ac:dyDescent="0.25">
      <c r="A30" s="1"/>
      <c r="B30" s="46">
        <f>ROW(B30) - ROW($B$9)</f>
        <v>21</v>
      </c>
      <c r="C30" s="53" t="s">
        <v>16</v>
      </c>
      <c r="D30" s="37" t="s">
        <v>39</v>
      </c>
      <c r="E30" s="37" t="s">
        <v>61</v>
      </c>
      <c r="F30" s="37" t="s">
        <v>73</v>
      </c>
      <c r="G30" s="37" t="s">
        <v>93</v>
      </c>
      <c r="H30" s="37" t="s">
        <v>105</v>
      </c>
      <c r="I30" s="37" t="s">
        <v>154</v>
      </c>
      <c r="J30" s="37" t="s">
        <v>124</v>
      </c>
      <c r="K30" s="37" t="s">
        <v>154</v>
      </c>
      <c r="L30" s="37">
        <v>1</v>
      </c>
      <c r="M30" s="37">
        <f>L30*5</f>
        <v>5</v>
      </c>
      <c r="N30" s="37">
        <v>10</v>
      </c>
      <c r="O30" s="59" t="s">
        <v>153</v>
      </c>
      <c r="P30" s="38">
        <v>4.8000000000000001E-2</v>
      </c>
      <c r="Q30" s="38">
        <f>P30*N30</f>
        <v>0.48</v>
      </c>
      <c r="R30" s="37"/>
      <c r="S30" s="58"/>
      <c r="V30" t="s">
        <v>153</v>
      </c>
    </row>
    <row r="31" spans="1:22" ht="24.75" thickBot="1" x14ac:dyDescent="0.3">
      <c r="A31" s="1"/>
      <c r="B31" s="47">
        <f t="shared" si="0"/>
        <v>22</v>
      </c>
      <c r="C31" s="54" t="s">
        <v>17</v>
      </c>
      <c r="D31" s="51" t="s">
        <v>40</v>
      </c>
      <c r="E31" s="51" t="s">
        <v>62</v>
      </c>
      <c r="F31" s="51" t="s">
        <v>74</v>
      </c>
      <c r="G31" s="51" t="s">
        <v>94</v>
      </c>
      <c r="H31" s="51" t="s">
        <v>106</v>
      </c>
      <c r="I31" s="51" t="s">
        <v>154</v>
      </c>
      <c r="J31" s="51" t="s">
        <v>125</v>
      </c>
      <c r="K31" s="51" t="s">
        <v>142</v>
      </c>
      <c r="L31" s="51">
        <v>1</v>
      </c>
      <c r="M31" s="51">
        <f t="shared" ref="M31:M32" si="21">L31*5</f>
        <v>5</v>
      </c>
      <c r="N31" s="51">
        <v>10</v>
      </c>
      <c r="O31" s="60" t="s">
        <v>153</v>
      </c>
      <c r="P31" s="52">
        <v>5.2600000000000001E-2</v>
      </c>
      <c r="Q31" s="52">
        <f t="shared" ref="Q31:Q32" si="22">P31*N31</f>
        <v>0.52600000000000002</v>
      </c>
      <c r="R31" s="51"/>
      <c r="S31" s="39"/>
      <c r="V31" t="s">
        <v>153</v>
      </c>
    </row>
    <row r="32" spans="1:22" s="64" customFormat="1" ht="24.75" thickBot="1" x14ac:dyDescent="0.3">
      <c r="A32" s="63"/>
      <c r="B32" s="47">
        <f t="shared" si="0"/>
        <v>23</v>
      </c>
      <c r="C32" s="54" t="s">
        <v>162</v>
      </c>
      <c r="D32" s="51" t="s">
        <v>154</v>
      </c>
      <c r="E32" s="51" t="s">
        <v>163</v>
      </c>
      <c r="F32" s="51" t="s">
        <v>154</v>
      </c>
      <c r="G32" s="51" t="s">
        <v>164</v>
      </c>
      <c r="H32" s="51" t="s">
        <v>165</v>
      </c>
      <c r="I32" s="51" t="s">
        <v>154</v>
      </c>
      <c r="J32" s="51" t="s">
        <v>154</v>
      </c>
      <c r="K32" s="51" t="s">
        <v>154</v>
      </c>
      <c r="L32" s="51">
        <v>1</v>
      </c>
      <c r="M32" s="51">
        <f t="shared" si="21"/>
        <v>5</v>
      </c>
      <c r="N32" s="51">
        <v>5</v>
      </c>
      <c r="O32" s="60" t="s">
        <v>166</v>
      </c>
      <c r="P32" s="52">
        <v>2.0699999999999998</v>
      </c>
      <c r="Q32" s="52">
        <f t="shared" si="22"/>
        <v>10.35</v>
      </c>
      <c r="R32" s="51"/>
      <c r="S32" s="39"/>
      <c r="V32" t="s">
        <v>153</v>
      </c>
    </row>
    <row r="33" spans="1:19" ht="19.5" thickBot="1" x14ac:dyDescent="0.3">
      <c r="A33" s="1"/>
      <c r="B33" s="40"/>
      <c r="C33" s="41"/>
      <c r="D33" s="42"/>
      <c r="E33" s="43"/>
      <c r="F33" s="44"/>
      <c r="G33" s="45"/>
      <c r="H33" s="44"/>
      <c r="I33" s="45"/>
      <c r="J33" s="44"/>
      <c r="K33" s="45"/>
      <c r="L33" s="45"/>
      <c r="M33" s="45"/>
      <c r="N33" s="74" t="s">
        <v>5</v>
      </c>
      <c r="O33" s="75"/>
      <c r="P33" s="75"/>
      <c r="Q33" s="48">
        <f>SUM(Q10:Q32)</f>
        <v>18.846000000000004</v>
      </c>
      <c r="R33" s="70"/>
      <c r="S33" s="71"/>
    </row>
    <row r="34" spans="1:19" ht="19.5" thickBot="1" x14ac:dyDescent="0.3">
      <c r="A34" s="1"/>
      <c r="B34" s="25"/>
      <c r="C34" s="36"/>
      <c r="D34" s="9"/>
      <c r="E34" s="10"/>
      <c r="F34" s="10"/>
      <c r="G34" s="10"/>
      <c r="H34" s="10"/>
      <c r="I34" s="10"/>
      <c r="J34" s="10"/>
      <c r="K34" s="10"/>
      <c r="L34" s="10"/>
      <c r="M34" s="10"/>
      <c r="N34" s="74" t="s">
        <v>6</v>
      </c>
      <c r="O34" s="75"/>
      <c r="P34" s="75"/>
      <c r="Q34" s="49">
        <f>Q33/5</f>
        <v>3.7692000000000005</v>
      </c>
      <c r="R34" s="72"/>
      <c r="S34" s="73"/>
    </row>
  </sheetData>
  <mergeCells count="5">
    <mergeCell ref="K1:S1"/>
    <mergeCell ref="S3:S8"/>
    <mergeCell ref="R33:S34"/>
    <mergeCell ref="N33:P33"/>
    <mergeCell ref="N34:P34"/>
  </mergeCells>
  <hyperlinks>
    <hyperlink ref="O10" r:id="rId1"/>
    <hyperlink ref="O11" r:id="rId2"/>
    <hyperlink ref="O13" r:id="rId3"/>
    <hyperlink ref="O14" r:id="rId4"/>
    <hyperlink ref="O15" r:id="rId5"/>
    <hyperlink ref="O16" r:id="rId6"/>
    <hyperlink ref="O17" r:id="rId7"/>
    <hyperlink ref="O18" r:id="rId8"/>
    <hyperlink ref="O21" r:id="rId9"/>
    <hyperlink ref="O19" r:id="rId10"/>
    <hyperlink ref="O20" r:id="rId11"/>
    <hyperlink ref="O22" r:id="rId12"/>
    <hyperlink ref="O23" r:id="rId13"/>
    <hyperlink ref="O24" r:id="rId14"/>
    <hyperlink ref="O26" r:id="rId15"/>
    <hyperlink ref="O27" r:id="rId16"/>
    <hyperlink ref="O28" r:id="rId17"/>
    <hyperlink ref="O29" r:id="rId18"/>
    <hyperlink ref="O30" r:id="rId19"/>
    <hyperlink ref="O31" r:id="rId20"/>
    <hyperlink ref="O12" r:id="rId21"/>
    <hyperlink ref="O25" r:id="rId22"/>
    <hyperlink ref="O32" r:id="rId23"/>
    <hyperlink ref="V10" r:id="rId24"/>
    <hyperlink ref="V11" r:id="rId25"/>
    <hyperlink ref="V13" r:id="rId26"/>
    <hyperlink ref="V14" r:id="rId27"/>
    <hyperlink ref="V15" r:id="rId28"/>
    <hyperlink ref="V16" r:id="rId29"/>
    <hyperlink ref="V24" r:id="rId30"/>
    <hyperlink ref="V23" r:id="rId31"/>
    <hyperlink ref="V25" r:id="rId32"/>
    <hyperlink ref="V27" r:id="rId33"/>
    <hyperlink ref="V28" r:id="rId34"/>
  </hyperlinks>
  <pageMargins left="0.7" right="0.7" top="0.75" bottom="0.75" header="0.3" footer="0.3"/>
  <pageSetup paperSize="9" orientation="portrait" r:id="rId35"/>
  <drawing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2023-12-08T16:06:22Z</dcterms:modified>
</cp:coreProperties>
</file>