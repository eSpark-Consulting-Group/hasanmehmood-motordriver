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32" i="1" l="1"/>
  <c r="K31" i="1" l="1"/>
  <c r="B31" i="1"/>
  <c r="K30" i="1"/>
  <c r="B30" i="1"/>
  <c r="K29" i="1"/>
  <c r="B29" i="1"/>
  <c r="K28" i="1"/>
  <c r="B28" i="1"/>
  <c r="K27" i="1"/>
  <c r="B27" i="1"/>
  <c r="K26" i="1"/>
  <c r="B26" i="1"/>
  <c r="K25" i="1"/>
  <c r="B25" i="1"/>
  <c r="K24" i="1"/>
  <c r="B24" i="1"/>
  <c r="K23" i="1"/>
  <c r="B23" i="1"/>
  <c r="K22" i="1"/>
  <c r="B22" i="1"/>
  <c r="K21" i="1"/>
  <c r="B21" i="1"/>
  <c r="K20" i="1"/>
  <c r="B20" i="1"/>
  <c r="K19" i="1"/>
  <c r="B19" i="1"/>
  <c r="K18" i="1"/>
  <c r="B18" i="1"/>
  <c r="K17" i="1"/>
  <c r="B17" i="1"/>
  <c r="K16" i="1"/>
  <c r="B16" i="1"/>
  <c r="K15" i="1"/>
  <c r="B15" i="1"/>
  <c r="K14" i="1"/>
  <c r="B14" i="1"/>
  <c r="K13" i="1"/>
  <c r="B13" i="1"/>
  <c r="K12" i="1"/>
  <c r="B12" i="1"/>
  <c r="K11" i="1" l="1"/>
  <c r="K10" i="1"/>
  <c r="B11" i="1"/>
  <c r="B10" i="1"/>
</calcChain>
</file>

<file path=xl/sharedStrings.xml><?xml version="1.0" encoding="utf-8"?>
<sst xmlns="http://schemas.openxmlformats.org/spreadsheetml/2006/main" count="178" uniqueCount="134">
  <si>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</si>
  <si>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</si>
  <si>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</si>
  <si>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</si>
  <si>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</si>
  <si>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</si>
  <si>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</si>
  <si>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</si>
  <si>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Battery Connector</t>
  </si>
  <si>
    <t>Male Header</t>
  </si>
  <si>
    <t>Metal Dome Pot</t>
  </si>
  <si>
    <t>Inductor</t>
  </si>
  <si>
    <t>LED</t>
  </si>
  <si>
    <t>Resistor</t>
  </si>
  <si>
    <t>IC</t>
  </si>
  <si>
    <t>Crystal</t>
  </si>
  <si>
    <t>Designator</t>
  </si>
  <si>
    <t>C1, C2</t>
  </si>
  <si>
    <t>C3</t>
  </si>
  <si>
    <t>C4</t>
  </si>
  <si>
    <t>C5</t>
  </si>
  <si>
    <t>C6</t>
  </si>
  <si>
    <t>C7</t>
  </si>
  <si>
    <t>C8</t>
  </si>
  <si>
    <t>J1</t>
  </si>
  <si>
    <t>J2</t>
  </si>
  <si>
    <t>J3, J4, J5, J6</t>
  </si>
  <si>
    <t>L1</t>
  </si>
  <si>
    <t>L2</t>
  </si>
  <si>
    <t>LED1</t>
  </si>
  <si>
    <t>R1, R2</t>
  </si>
  <si>
    <t>R3</t>
  </si>
  <si>
    <t>R4</t>
  </si>
  <si>
    <t>R5</t>
  </si>
  <si>
    <t>R6</t>
  </si>
  <si>
    <t>R7</t>
  </si>
  <si>
    <t>U1</t>
  </si>
  <si>
    <t>U2</t>
  </si>
  <si>
    <t>X1</t>
  </si>
  <si>
    <t>Description</t>
  </si>
  <si>
    <t>CAP CER 18PF 50V C0G/NP0 0402</t>
  </si>
  <si>
    <t>CAP CER 1UF 25V X5R 0402</t>
  </si>
  <si>
    <t>Cap Cer 220PF 25V X7R 0402</t>
  </si>
  <si>
    <t>CAP CER 2.2UF 25V X5R 0402</t>
  </si>
  <si>
    <t>CAP CER 4.7PF 50V C0G/NPO 0402</t>
  </si>
  <si>
    <t>CAP CER 100PF 50V C0G/NPO 0402</t>
  </si>
  <si>
    <t>CAP CER 10PF 50V C0G/NP0 0402</t>
  </si>
  <si>
    <t>Battery button CR2032 Plugin Battery Connectors ROHS</t>
  </si>
  <si>
    <t>CONN HEADER VERT 2POS 2.54MM</t>
  </si>
  <si>
    <t>Circular 160gf 0.25mm - Metal Dome Pot ROHS</t>
  </si>
  <si>
    <t>FIXED IND 180NH 150MA 3.38OHM SM</t>
  </si>
  <si>
    <t>FIXED IND 27NH 590MA 116MOHM SMD</t>
  </si>
  <si>
    <t>RED LED 0603 Light Emitting Diodes</t>
  </si>
  <si>
    <t>Zero Ohm Resistor, Jumper, 0402 [1005 Metric], Thick Film, 63 mW, 1 A, Surface Mount</t>
  </si>
  <si>
    <t>RES 100K OHM 1% 1/16W 0402</t>
  </si>
  <si>
    <t>RES SMD 300K OHM 1% 1/5W 0402</t>
  </si>
  <si>
    <t>RES SMD 1K OHM 1% 1/5W 0402</t>
  </si>
  <si>
    <t>RES SMD 10K OHM 0.1% 1/16W 0402</t>
  </si>
  <si>
    <t>RES 3.3K OHM 1% 1/16W 0402</t>
  </si>
  <si>
    <t>SOT-23-6 RF Transceiver ICs ROHS</t>
  </si>
  <si>
    <t>SOP-8 Interface - Specialized ROHS</t>
  </si>
  <si>
    <t>13.56MHz null ±10ppm HC-49S-SMD-2P-Mini Crystals ROHS</t>
  </si>
  <si>
    <t>Footprint</t>
  </si>
  <si>
    <t>Cap-0402</t>
  </si>
  <si>
    <t>MY-2032-02</t>
  </si>
  <si>
    <t>HDR1X2_</t>
  </si>
  <si>
    <t>600-508S-160</t>
  </si>
  <si>
    <t>IND-0402</t>
  </si>
  <si>
    <t>IND-0603 (1608 Metric)</t>
  </si>
  <si>
    <t>LED-0603</t>
  </si>
  <si>
    <t>Res-0402</t>
  </si>
  <si>
    <t>SOT-23-6</t>
  </si>
  <si>
    <t>SOP-8</t>
  </si>
  <si>
    <t>HC-49S-SMD-2P-Mini</t>
  </si>
  <si>
    <t>Manufacturer Part Number</t>
  </si>
  <si>
    <t>GCM1555C1H180GA16D</t>
  </si>
  <si>
    <t>CC0402KRX5R8BB105</t>
  </si>
  <si>
    <t>C0402C221K3RACAUTO</t>
  </si>
  <si>
    <t>GRM155R61E225KE11D</t>
  </si>
  <si>
    <t>CC0402BRNPO9BN4R7</t>
  </si>
  <si>
    <t>CC0402JRNPO9BN101</t>
  </si>
  <si>
    <t>GRM1555C1H100JA01D</t>
  </si>
  <si>
    <t>LQG15HSR18J02D</t>
  </si>
  <si>
    <t>LQW18AN27NG10D</t>
  </si>
  <si>
    <t>NCD0603R3</t>
  </si>
  <si>
    <t>AC0402FR-070RL</t>
  </si>
  <si>
    <t>RC0402FR-07100KL</t>
  </si>
  <si>
    <t>RCS0402300KFKED</t>
  </si>
  <si>
    <t>CRCW04021K00FKEDHP</t>
  </si>
  <si>
    <t>RT0402BRD0710KL</t>
  </si>
  <si>
    <t>RC0402FR-073K3L</t>
  </si>
  <si>
    <t>WF4455TD AS6T LG</t>
  </si>
  <si>
    <t>L1527</t>
  </si>
  <si>
    <t>13.560M 20PF 10PPM</t>
  </si>
  <si>
    <t>Manufacturer</t>
  </si>
  <si>
    <t>Murata</t>
  </si>
  <si>
    <t>Yageo</t>
  </si>
  <si>
    <t>KEMET</t>
  </si>
  <si>
    <t>MYOUNG</t>
  </si>
  <si>
    <t>TE Connectivity</t>
  </si>
  <si>
    <t>HYP</t>
  </si>
  <si>
    <t>Foshan NationStar Optoelectronics</t>
  </si>
  <si>
    <t>Vishay Dale</t>
  </si>
  <si>
    <t>WF</t>
  </si>
  <si>
    <t>WL</t>
  </si>
  <si>
    <t>SST</t>
  </si>
  <si>
    <t>18pF</t>
  </si>
  <si>
    <t>1uF</t>
  </si>
  <si>
    <t>220pF</t>
  </si>
  <si>
    <t>2.2uf</t>
  </si>
  <si>
    <t>4.7pF</t>
  </si>
  <si>
    <t>100pF</t>
  </si>
  <si>
    <t>10pF</t>
  </si>
  <si>
    <t>180nH</t>
  </si>
  <si>
    <t>27nH</t>
  </si>
  <si>
    <t>RED</t>
  </si>
  <si>
    <t>0R</t>
  </si>
  <si>
    <t>100K</t>
  </si>
  <si>
    <t>300K</t>
  </si>
  <si>
    <t>1K</t>
  </si>
  <si>
    <t>10K</t>
  </si>
  <si>
    <t>3.3K</t>
  </si>
  <si>
    <t>13.56MHz</t>
  </si>
  <si>
    <t>Quantity</t>
  </si>
  <si>
    <t>Value</t>
  </si>
  <si>
    <t>Quantity (5 Boards)</t>
  </si>
  <si>
    <t>Remarks</t>
  </si>
  <si>
    <t>-</t>
  </si>
  <si>
    <t>Bill of Materials for Project [Transmitter_v1.0.]</t>
  </si>
  <si>
    <t>Transmitter_v1.0.</t>
  </si>
  <si>
    <t>Peripheral</t>
  </si>
  <si>
    <t>Panasonic CR2032 3 Alkaline V Batteries</t>
  </si>
  <si>
    <t>Panasonic</t>
  </si>
  <si>
    <t>Battery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</si>
</sst>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2</xdr:row>
      <xdr:rowOff>10417</xdr:rowOff>
    </xdr:from>
    <xdr:to>
      <xdr:col>11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4"/>
  <sheetViews>
    <sheetView tabSelected="1" topLeftCell="A13" workbookViewId="0">
      <selection activeCell="D37" sqref="D37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8.140625" bestFit="1" customWidth="1"/>
    <col min="10" max="10" width="8.7109375" bestFit="1" customWidth="1"/>
    <col min="11" max="11" width="18.28515625" bestFit="1" customWidth="1"/>
    <col min="12" max="12" width="26.85546875" bestFit="1" customWidth="1"/>
  </cols>
  <sheetData>
    <row r="1" spans="1:12" ht="15.75" thickBot="1" x14ac:dyDescent="0.3">
      <c r="A1" s="1"/>
      <c r="B1" s="20"/>
      <c r="C1" s="20"/>
      <c r="D1" s="2"/>
      <c r="E1" s="2"/>
      <c r="F1" s="2"/>
      <c r="G1" s="2"/>
      <c r="H1" s="2"/>
      <c r="I1" s="55"/>
      <c r="J1" s="55"/>
      <c r="K1" s="55"/>
      <c r="L1" s="56"/>
    </row>
    <row r="2" spans="1:12" ht="32.25" thickBot="1" x14ac:dyDescent="0.3">
      <c r="A2" s="1"/>
      <c r="B2" s="21"/>
      <c r="C2" s="31"/>
      <c r="D2" s="11" t="s">
        <v>0</v>
      </c>
      <c r="E2" s="11"/>
      <c r="F2" s="51" t="s">
        <v>128</v>
      </c>
      <c r="G2" s="12"/>
      <c r="H2" s="4"/>
      <c r="I2" s="4"/>
      <c r="J2" s="4"/>
      <c r="K2" s="4"/>
      <c r="L2" s="3"/>
    </row>
    <row r="3" spans="1:12" x14ac:dyDescent="0.25">
      <c r="A3" s="1"/>
      <c r="B3" s="22"/>
      <c r="C3" s="32"/>
      <c r="D3" s="13" t="s">
        <v>1</v>
      </c>
      <c r="E3" s="13"/>
      <c r="F3" s="52" t="s">
        <v>129</v>
      </c>
      <c r="G3" s="13"/>
      <c r="H3" s="5"/>
      <c r="I3" s="5"/>
      <c r="J3" s="5"/>
      <c r="K3" s="5"/>
      <c r="L3" s="57"/>
    </row>
    <row r="4" spans="1:12" x14ac:dyDescent="0.25">
      <c r="A4" s="1"/>
      <c r="B4" s="22"/>
      <c r="C4" s="32"/>
      <c r="D4" s="13" t="s">
        <v>2</v>
      </c>
      <c r="E4" s="13"/>
      <c r="F4" s="52" t="s">
        <v>129</v>
      </c>
      <c r="G4" s="14"/>
      <c r="H4" s="7"/>
      <c r="I4" s="7"/>
      <c r="J4" s="6"/>
      <c r="K4" s="6"/>
      <c r="L4" s="58"/>
    </row>
    <row r="5" spans="1:12" x14ac:dyDescent="0.25">
      <c r="A5" s="1"/>
      <c r="B5" s="22"/>
      <c r="C5" s="32"/>
      <c r="D5" s="13" t="s">
        <v>3</v>
      </c>
      <c r="E5" s="13"/>
      <c r="F5" s="53" t="s">
        <v>5</v>
      </c>
      <c r="G5" s="15"/>
      <c r="H5" s="6"/>
      <c r="I5" s="6"/>
      <c r="J5" s="6"/>
      <c r="K5" s="6"/>
      <c r="L5" s="58"/>
    </row>
    <row r="6" spans="1:12" x14ac:dyDescent="0.25">
      <c r="A6" s="1"/>
      <c r="B6" s="23"/>
      <c r="C6" s="33"/>
      <c r="D6" s="16"/>
      <c r="E6" s="16"/>
      <c r="F6" s="17"/>
      <c r="G6" s="15"/>
      <c r="H6" s="6"/>
      <c r="I6" s="6"/>
      <c r="J6" s="6"/>
      <c r="K6" s="6"/>
      <c r="L6" s="58"/>
    </row>
    <row r="7" spans="1:12" x14ac:dyDescent="0.25">
      <c r="A7" s="1"/>
      <c r="B7" s="24"/>
      <c r="C7" s="34"/>
      <c r="D7" s="18"/>
      <c r="E7" s="18"/>
      <c r="F7" s="19"/>
      <c r="G7" s="18"/>
      <c r="H7" s="8"/>
      <c r="I7" s="8"/>
      <c r="J7" s="8"/>
      <c r="K7" s="8"/>
      <c r="L7" s="58"/>
    </row>
    <row r="8" spans="1:12" ht="15.75" thickBot="1" x14ac:dyDescent="0.3">
      <c r="A8" s="1"/>
      <c r="B8" s="27"/>
      <c r="C8" s="35"/>
      <c r="D8" s="28"/>
      <c r="E8" s="28"/>
      <c r="F8" s="29"/>
      <c r="G8" s="18"/>
      <c r="H8" s="8"/>
      <c r="I8" s="8"/>
      <c r="J8" s="8"/>
      <c r="K8" s="8"/>
      <c r="L8" s="58"/>
    </row>
    <row r="9" spans="1:12" ht="15.75" thickBot="1" x14ac:dyDescent="0.3">
      <c r="A9" s="1"/>
      <c r="B9" s="30" t="s">
        <v>4</v>
      </c>
      <c r="C9" s="30" t="s">
        <v>6</v>
      </c>
      <c r="D9" s="30" t="s">
        <v>16</v>
      </c>
      <c r="E9" s="30" t="s">
        <v>39</v>
      </c>
      <c r="F9" s="30" t="s">
        <v>62</v>
      </c>
      <c r="G9" s="30" t="s">
        <v>74</v>
      </c>
      <c r="H9" s="30" t="s">
        <v>94</v>
      </c>
      <c r="I9" s="30" t="s">
        <v>124</v>
      </c>
      <c r="J9" s="30" t="s">
        <v>123</v>
      </c>
      <c r="K9" s="30" t="s">
        <v>125</v>
      </c>
      <c r="L9" s="30" t="s">
        <v>126</v>
      </c>
    </row>
    <row r="10" spans="1:12" x14ac:dyDescent="0.25">
      <c r="A10" s="1"/>
      <c r="B10" s="45">
        <f>ROW(B10) - ROW($B$9)</f>
        <v>1</v>
      </c>
      <c r="C10" s="49" t="s">
        <v>7</v>
      </c>
      <c r="D10" s="37" t="s">
        <v>17</v>
      </c>
      <c r="E10" s="37" t="s">
        <v>40</v>
      </c>
      <c r="F10" s="37" t="s">
        <v>63</v>
      </c>
      <c r="G10" s="37" t="s">
        <v>75</v>
      </c>
      <c r="H10" s="37" t="s">
        <v>95</v>
      </c>
      <c r="I10" s="37" t="s">
        <v>106</v>
      </c>
      <c r="J10" s="37">
        <v>2</v>
      </c>
      <c r="K10" s="37">
        <f>J10*5</f>
        <v>10</v>
      </c>
      <c r="L10" s="47"/>
    </row>
    <row r="11" spans="1:12" x14ac:dyDescent="0.25">
      <c r="A11" s="1"/>
      <c r="B11" s="46">
        <f t="shared" ref="B11:B31" si="0">ROW(B11) - ROW($B$9)</f>
        <v>2</v>
      </c>
      <c r="C11" s="49" t="s">
        <v>7</v>
      </c>
      <c r="D11" s="48" t="s">
        <v>18</v>
      </c>
      <c r="E11" s="48" t="s">
        <v>41</v>
      </c>
      <c r="F11" s="48" t="s">
        <v>63</v>
      </c>
      <c r="G11" s="48" t="s">
        <v>76</v>
      </c>
      <c r="H11" s="48" t="s">
        <v>96</v>
      </c>
      <c r="I11" s="48" t="s">
        <v>107</v>
      </c>
      <c r="J11" s="48">
        <v>1</v>
      </c>
      <c r="K11" s="48">
        <f t="shared" ref="K11" si="1">J11*5</f>
        <v>5</v>
      </c>
      <c r="L11" s="48"/>
    </row>
    <row r="12" spans="1:12" x14ac:dyDescent="0.25">
      <c r="A12" s="1"/>
      <c r="B12" s="45">
        <f>ROW(B12) - ROW($B$9)</f>
        <v>3</v>
      </c>
      <c r="C12" s="49" t="s">
        <v>7</v>
      </c>
      <c r="D12" s="37" t="s">
        <v>19</v>
      </c>
      <c r="E12" s="37" t="s">
        <v>42</v>
      </c>
      <c r="F12" s="37" t="s">
        <v>63</v>
      </c>
      <c r="G12" s="61" t="s">
        <v>77</v>
      </c>
      <c r="H12" s="37" t="s">
        <v>97</v>
      </c>
      <c r="I12" s="37" t="s">
        <v>108</v>
      </c>
      <c r="J12" s="37">
        <v>1</v>
      </c>
      <c r="K12" s="37">
        <f>J12*5</f>
        <v>5</v>
      </c>
      <c r="L12" s="54"/>
    </row>
    <row r="13" spans="1:12" x14ac:dyDescent="0.25">
      <c r="A13" s="1"/>
      <c r="B13" s="46">
        <f t="shared" si="0"/>
        <v>4</v>
      </c>
      <c r="C13" s="50" t="s">
        <v>7</v>
      </c>
      <c r="D13" s="48" t="s">
        <v>20</v>
      </c>
      <c r="E13" s="48" t="s">
        <v>43</v>
      </c>
      <c r="F13" s="48" t="s">
        <v>63</v>
      </c>
      <c r="G13" s="48" t="s">
        <v>78</v>
      </c>
      <c r="H13" s="48" t="s">
        <v>95</v>
      </c>
      <c r="I13" s="48" t="s">
        <v>109</v>
      </c>
      <c r="J13" s="48">
        <v>1</v>
      </c>
      <c r="K13" s="48">
        <f t="shared" ref="K13" si="2">J13*5</f>
        <v>5</v>
      </c>
      <c r="L13" s="54"/>
    </row>
    <row r="14" spans="1:12" x14ac:dyDescent="0.25">
      <c r="A14" s="1"/>
      <c r="B14" s="45">
        <f>ROW(B14) - ROW($B$9)</f>
        <v>5</v>
      </c>
      <c r="C14" s="49" t="s">
        <v>7</v>
      </c>
      <c r="D14" s="37" t="s">
        <v>21</v>
      </c>
      <c r="E14" s="37" t="s">
        <v>44</v>
      </c>
      <c r="F14" s="37" t="s">
        <v>63</v>
      </c>
      <c r="G14" s="37" t="s">
        <v>79</v>
      </c>
      <c r="H14" s="37" t="s">
        <v>96</v>
      </c>
      <c r="I14" s="37" t="s">
        <v>110</v>
      </c>
      <c r="J14" s="37">
        <v>1</v>
      </c>
      <c r="K14" s="37">
        <f>J14*5</f>
        <v>5</v>
      </c>
      <c r="L14" s="54"/>
    </row>
    <row r="15" spans="1:12" x14ac:dyDescent="0.25">
      <c r="A15" s="1"/>
      <c r="B15" s="46">
        <f t="shared" si="0"/>
        <v>6</v>
      </c>
      <c r="C15" s="50" t="s">
        <v>7</v>
      </c>
      <c r="D15" s="48" t="s">
        <v>22</v>
      </c>
      <c r="E15" s="48" t="s">
        <v>45</v>
      </c>
      <c r="F15" s="48" t="s">
        <v>63</v>
      </c>
      <c r="G15" s="48" t="s">
        <v>80</v>
      </c>
      <c r="H15" s="48" t="s">
        <v>96</v>
      </c>
      <c r="I15" s="48" t="s">
        <v>111</v>
      </c>
      <c r="J15" s="48">
        <v>1</v>
      </c>
      <c r="K15" s="48">
        <f t="shared" ref="K15" si="3">J15*5</f>
        <v>5</v>
      </c>
      <c r="L15" s="54"/>
    </row>
    <row r="16" spans="1:12" x14ac:dyDescent="0.25">
      <c r="A16" s="1"/>
      <c r="B16" s="45">
        <f>ROW(B16) - ROW($B$9)</f>
        <v>7</v>
      </c>
      <c r="C16" s="49" t="s">
        <v>7</v>
      </c>
      <c r="D16" s="37" t="s">
        <v>23</v>
      </c>
      <c r="E16" s="37" t="s">
        <v>46</v>
      </c>
      <c r="F16" s="37" t="s">
        <v>63</v>
      </c>
      <c r="G16" s="37" t="s">
        <v>81</v>
      </c>
      <c r="H16" s="37" t="s">
        <v>95</v>
      </c>
      <c r="I16" s="37" t="s">
        <v>112</v>
      </c>
      <c r="J16" s="37">
        <v>1</v>
      </c>
      <c r="K16" s="37">
        <f>J16*5</f>
        <v>5</v>
      </c>
      <c r="L16" s="54"/>
    </row>
    <row r="17" spans="1:12" ht="24" x14ac:dyDescent="0.25">
      <c r="A17" s="1"/>
      <c r="B17" s="46">
        <f t="shared" si="0"/>
        <v>8</v>
      </c>
      <c r="C17" s="50" t="s">
        <v>8</v>
      </c>
      <c r="D17" s="48" t="s">
        <v>24</v>
      </c>
      <c r="E17" s="48" t="s">
        <v>47</v>
      </c>
      <c r="F17" s="48" t="s">
        <v>64</v>
      </c>
      <c r="G17" s="48" t="s">
        <v>64</v>
      </c>
      <c r="H17" s="48" t="s">
        <v>98</v>
      </c>
      <c r="I17" s="48" t="s">
        <v>127</v>
      </c>
      <c r="J17" s="48">
        <v>1</v>
      </c>
      <c r="K17" s="48">
        <f t="shared" ref="K17" si="4">J17*5</f>
        <v>5</v>
      </c>
      <c r="L17" s="54"/>
    </row>
    <row r="18" spans="1:12" x14ac:dyDescent="0.25">
      <c r="A18" s="1"/>
      <c r="B18" s="45">
        <f>ROW(B18) - ROW($B$9)</f>
        <v>9</v>
      </c>
      <c r="C18" s="49" t="s">
        <v>9</v>
      </c>
      <c r="D18" s="37" t="s">
        <v>25</v>
      </c>
      <c r="E18" s="37" t="s">
        <v>48</v>
      </c>
      <c r="F18" s="37" t="s">
        <v>65</v>
      </c>
      <c r="G18" s="61">
        <v>8266292</v>
      </c>
      <c r="H18" s="37" t="s">
        <v>99</v>
      </c>
      <c r="I18" s="37" t="s">
        <v>127</v>
      </c>
      <c r="J18" s="37">
        <v>1</v>
      </c>
      <c r="K18" s="37">
        <f>J18*5</f>
        <v>5</v>
      </c>
      <c r="L18" s="54"/>
    </row>
    <row r="19" spans="1:12" ht="24" x14ac:dyDescent="0.25">
      <c r="A19" s="1"/>
      <c r="B19" s="46">
        <f t="shared" si="0"/>
        <v>10</v>
      </c>
      <c r="C19" s="50" t="s">
        <v>10</v>
      </c>
      <c r="D19" s="48" t="s">
        <v>26</v>
      </c>
      <c r="E19" s="48" t="s">
        <v>49</v>
      </c>
      <c r="F19" s="48" t="s">
        <v>66</v>
      </c>
      <c r="G19" s="61" t="s">
        <v>66</v>
      </c>
      <c r="H19" s="48" t="s">
        <v>100</v>
      </c>
      <c r="I19" s="48"/>
      <c r="J19" s="48">
        <v>4</v>
      </c>
      <c r="K19" s="48">
        <f t="shared" ref="K19" si="5">J19*5</f>
        <v>20</v>
      </c>
      <c r="L19" s="54"/>
    </row>
    <row r="20" spans="1:12" x14ac:dyDescent="0.25">
      <c r="A20" s="1"/>
      <c r="B20" s="45">
        <f>ROW(B20) - ROW($B$9)</f>
        <v>11</v>
      </c>
      <c r="C20" s="49" t="s">
        <v>11</v>
      </c>
      <c r="D20" s="37" t="s">
        <v>27</v>
      </c>
      <c r="E20" s="37" t="s">
        <v>50</v>
      </c>
      <c r="F20" s="37" t="s">
        <v>67</v>
      </c>
      <c r="G20" s="61" t="s">
        <v>82</v>
      </c>
      <c r="H20" s="37" t="s">
        <v>95</v>
      </c>
      <c r="I20" s="37" t="s">
        <v>113</v>
      </c>
      <c r="J20" s="37">
        <v>1</v>
      </c>
      <c r="K20" s="37">
        <f>J20*5</f>
        <v>5</v>
      </c>
      <c r="L20" s="54"/>
    </row>
    <row r="21" spans="1:12" ht="24" x14ac:dyDescent="0.25">
      <c r="A21" s="1"/>
      <c r="B21" s="46">
        <f t="shared" si="0"/>
        <v>12</v>
      </c>
      <c r="C21" s="50" t="s">
        <v>11</v>
      </c>
      <c r="D21" s="48" t="s">
        <v>28</v>
      </c>
      <c r="E21" s="48" t="s">
        <v>51</v>
      </c>
      <c r="F21" s="48" t="s">
        <v>68</v>
      </c>
      <c r="G21" s="61" t="s">
        <v>83</v>
      </c>
      <c r="H21" s="48" t="s">
        <v>95</v>
      </c>
      <c r="I21" s="48" t="s">
        <v>114</v>
      </c>
      <c r="J21" s="48">
        <v>1</v>
      </c>
      <c r="K21" s="48">
        <f t="shared" ref="K21" si="6">J21*5</f>
        <v>5</v>
      </c>
      <c r="L21" s="54"/>
    </row>
    <row r="22" spans="1:12" ht="24" x14ac:dyDescent="0.25">
      <c r="A22" s="1"/>
      <c r="B22" s="45">
        <f>ROW(B22) - ROW($B$9)</f>
        <v>13</v>
      </c>
      <c r="C22" s="49" t="s">
        <v>12</v>
      </c>
      <c r="D22" s="37" t="s">
        <v>29</v>
      </c>
      <c r="E22" s="37" t="s">
        <v>52</v>
      </c>
      <c r="F22" s="37" t="s">
        <v>69</v>
      </c>
      <c r="G22" s="61" t="s">
        <v>84</v>
      </c>
      <c r="H22" s="37" t="s">
        <v>101</v>
      </c>
      <c r="I22" s="37" t="s">
        <v>115</v>
      </c>
      <c r="J22" s="37">
        <v>1</v>
      </c>
      <c r="K22" s="37">
        <f>J22*5</f>
        <v>5</v>
      </c>
      <c r="L22" s="54"/>
    </row>
    <row r="23" spans="1:12" ht="36" x14ac:dyDescent="0.25">
      <c r="A23" s="1"/>
      <c r="B23" s="46">
        <f t="shared" si="0"/>
        <v>14</v>
      </c>
      <c r="C23" s="50" t="s">
        <v>13</v>
      </c>
      <c r="D23" s="48" t="s">
        <v>30</v>
      </c>
      <c r="E23" s="48" t="s">
        <v>53</v>
      </c>
      <c r="F23" s="48" t="s">
        <v>70</v>
      </c>
      <c r="G23" s="61" t="s">
        <v>85</v>
      </c>
      <c r="H23" s="48" t="s">
        <v>96</v>
      </c>
      <c r="I23" s="48" t="s">
        <v>116</v>
      </c>
      <c r="J23" s="48">
        <v>2</v>
      </c>
      <c r="K23" s="48">
        <f t="shared" ref="K23" si="7">J23*5</f>
        <v>10</v>
      </c>
      <c r="L23" s="54"/>
    </row>
    <row r="24" spans="1:12" x14ac:dyDescent="0.25">
      <c r="A24" s="1"/>
      <c r="B24" s="45">
        <f>ROW(B24) - ROW($B$9)</f>
        <v>15</v>
      </c>
      <c r="C24" s="49" t="s">
        <v>13</v>
      </c>
      <c r="D24" s="37" t="s">
        <v>31</v>
      </c>
      <c r="E24" s="37" t="s">
        <v>54</v>
      </c>
      <c r="F24" s="37" t="s">
        <v>70</v>
      </c>
      <c r="G24" s="61" t="s">
        <v>86</v>
      </c>
      <c r="H24" s="37" t="s">
        <v>96</v>
      </c>
      <c r="I24" s="37" t="s">
        <v>117</v>
      </c>
      <c r="J24" s="37">
        <v>1</v>
      </c>
      <c r="K24" s="37">
        <f>J24*5</f>
        <v>5</v>
      </c>
      <c r="L24" s="54"/>
    </row>
    <row r="25" spans="1:12" x14ac:dyDescent="0.25">
      <c r="A25" s="1"/>
      <c r="B25" s="46">
        <f t="shared" si="0"/>
        <v>16</v>
      </c>
      <c r="C25" s="49" t="s">
        <v>13</v>
      </c>
      <c r="D25" s="48" t="s">
        <v>32</v>
      </c>
      <c r="E25" s="48" t="s">
        <v>55</v>
      </c>
      <c r="F25" s="48" t="s">
        <v>70</v>
      </c>
      <c r="G25" s="61" t="s">
        <v>87</v>
      </c>
      <c r="H25" s="48" t="s">
        <v>102</v>
      </c>
      <c r="I25" s="48" t="s">
        <v>118</v>
      </c>
      <c r="J25" s="48">
        <v>1</v>
      </c>
      <c r="K25" s="48">
        <f t="shared" ref="K25" si="8">J25*5</f>
        <v>5</v>
      </c>
      <c r="L25" s="54"/>
    </row>
    <row r="26" spans="1:12" x14ac:dyDescent="0.25">
      <c r="A26" s="1"/>
      <c r="B26" s="45">
        <f>ROW(B26) - ROW($B$9)</f>
        <v>17</v>
      </c>
      <c r="C26" s="49" t="s">
        <v>13</v>
      </c>
      <c r="D26" s="37" t="s">
        <v>33</v>
      </c>
      <c r="E26" s="37" t="s">
        <v>56</v>
      </c>
      <c r="F26" s="37" t="s">
        <v>70</v>
      </c>
      <c r="G26" s="37" t="s">
        <v>88</v>
      </c>
      <c r="H26" s="37" t="s">
        <v>102</v>
      </c>
      <c r="I26" s="37" t="s">
        <v>119</v>
      </c>
      <c r="J26" s="37">
        <v>1</v>
      </c>
      <c r="K26" s="37">
        <f>J26*5</f>
        <v>5</v>
      </c>
      <c r="L26" s="54"/>
    </row>
    <row r="27" spans="1:12" x14ac:dyDescent="0.25">
      <c r="A27" s="1"/>
      <c r="B27" s="46">
        <f t="shared" si="0"/>
        <v>18</v>
      </c>
      <c r="C27" s="50" t="s">
        <v>13</v>
      </c>
      <c r="D27" s="48" t="s">
        <v>34</v>
      </c>
      <c r="E27" s="48" t="s">
        <v>57</v>
      </c>
      <c r="F27" s="48" t="s">
        <v>70</v>
      </c>
      <c r="G27" s="48" t="s">
        <v>89</v>
      </c>
      <c r="H27" s="48" t="s">
        <v>96</v>
      </c>
      <c r="I27" s="48" t="s">
        <v>120</v>
      </c>
      <c r="J27" s="48">
        <v>1</v>
      </c>
      <c r="K27" s="48">
        <f t="shared" ref="K27" si="9">J27*5</f>
        <v>5</v>
      </c>
      <c r="L27" s="54"/>
    </row>
    <row r="28" spans="1:12" x14ac:dyDescent="0.25">
      <c r="A28" s="1"/>
      <c r="B28" s="45">
        <f>ROW(B28) - ROW($B$9)</f>
        <v>19</v>
      </c>
      <c r="C28" s="49" t="s">
        <v>13</v>
      </c>
      <c r="D28" s="37" t="s">
        <v>35</v>
      </c>
      <c r="E28" s="37" t="s">
        <v>58</v>
      </c>
      <c r="F28" s="37" t="s">
        <v>70</v>
      </c>
      <c r="G28" s="37" t="s">
        <v>90</v>
      </c>
      <c r="H28" s="37" t="s">
        <v>96</v>
      </c>
      <c r="I28" s="37" t="s">
        <v>121</v>
      </c>
      <c r="J28" s="37">
        <v>1</v>
      </c>
      <c r="K28" s="37">
        <f>J28*5</f>
        <v>5</v>
      </c>
      <c r="L28" s="54"/>
    </row>
    <row r="29" spans="1:12" x14ac:dyDescent="0.25">
      <c r="A29" s="1"/>
      <c r="B29" s="46">
        <f t="shared" si="0"/>
        <v>20</v>
      </c>
      <c r="C29" s="50" t="s">
        <v>14</v>
      </c>
      <c r="D29" s="48" t="s">
        <v>36</v>
      </c>
      <c r="E29" s="48" t="s">
        <v>59</v>
      </c>
      <c r="F29" s="48" t="s">
        <v>71</v>
      </c>
      <c r="G29" s="48" t="s">
        <v>91</v>
      </c>
      <c r="H29" s="48" t="s">
        <v>103</v>
      </c>
      <c r="I29" s="48" t="s">
        <v>127</v>
      </c>
      <c r="J29" s="48">
        <v>1</v>
      </c>
      <c r="K29" s="48">
        <f t="shared" ref="K29" si="10">J29*5</f>
        <v>5</v>
      </c>
      <c r="L29" s="54"/>
    </row>
    <row r="30" spans="1:12" x14ac:dyDescent="0.25">
      <c r="A30" s="1"/>
      <c r="B30" s="45">
        <f>ROW(B30) - ROW($B$9)</f>
        <v>21</v>
      </c>
      <c r="C30" s="49" t="s">
        <v>14</v>
      </c>
      <c r="D30" s="37" t="s">
        <v>37</v>
      </c>
      <c r="E30" s="37" t="s">
        <v>60</v>
      </c>
      <c r="F30" s="37" t="s">
        <v>72</v>
      </c>
      <c r="G30" s="37" t="s">
        <v>92</v>
      </c>
      <c r="H30" s="37" t="s">
        <v>104</v>
      </c>
      <c r="I30" s="37" t="s">
        <v>127</v>
      </c>
      <c r="J30" s="37">
        <v>1</v>
      </c>
      <c r="K30" s="37">
        <f>J30*5</f>
        <v>5</v>
      </c>
      <c r="L30" s="54"/>
    </row>
    <row r="31" spans="1:12" ht="24.75" thickBot="1" x14ac:dyDescent="0.3">
      <c r="A31" s="1"/>
      <c r="B31" s="46">
        <f t="shared" si="0"/>
        <v>22</v>
      </c>
      <c r="C31" s="50" t="s">
        <v>15</v>
      </c>
      <c r="D31" s="48" t="s">
        <v>38</v>
      </c>
      <c r="E31" s="48" t="s">
        <v>61</v>
      </c>
      <c r="F31" s="48" t="s">
        <v>73</v>
      </c>
      <c r="G31" s="48" t="s">
        <v>93</v>
      </c>
      <c r="H31" s="48" t="s">
        <v>105</v>
      </c>
      <c r="I31" s="48" t="s">
        <v>122</v>
      </c>
      <c r="J31" s="48">
        <v>1</v>
      </c>
      <c r="K31" s="48">
        <f t="shared" ref="K31:K32" si="11">J31*5</f>
        <v>5</v>
      </c>
      <c r="L31" s="38"/>
    </row>
    <row r="32" spans="1:12" ht="24.75" thickBot="1" x14ac:dyDescent="0.3">
      <c r="A32" s="1"/>
      <c r="B32" s="62">
        <v>23</v>
      </c>
      <c r="C32" s="50" t="s">
        <v>130</v>
      </c>
      <c r="D32" s="48" t="s">
        <v>127</v>
      </c>
      <c r="E32" s="48" t="s">
        <v>131</v>
      </c>
      <c r="F32" s="48" t="s">
        <v>127</v>
      </c>
      <c r="G32" s="48" t="s">
        <v>133</v>
      </c>
      <c r="H32" s="48" t="s">
        <v>132</v>
      </c>
      <c r="I32" s="48" t="s">
        <v>127</v>
      </c>
      <c r="J32" s="48">
        <v>1</v>
      </c>
      <c r="K32" s="48">
        <f t="shared" si="11"/>
        <v>5</v>
      </c>
      <c r="L32" s="38"/>
    </row>
    <row r="33" spans="1:12" x14ac:dyDescent="0.25">
      <c r="A33" s="1"/>
      <c r="B33" s="39"/>
      <c r="C33" s="40"/>
      <c r="D33" s="41"/>
      <c r="E33" s="42"/>
      <c r="F33" s="43"/>
      <c r="G33" s="44"/>
      <c r="H33" s="43"/>
      <c r="I33" s="44"/>
      <c r="J33" s="44"/>
      <c r="K33" s="44"/>
      <c r="L33" s="59"/>
    </row>
    <row r="34" spans="1:12" ht="15.75" thickBot="1" x14ac:dyDescent="0.3">
      <c r="A34" s="1"/>
      <c r="B34" s="25"/>
      <c r="C34" s="36"/>
      <c r="D34" s="9"/>
      <c r="E34" s="10"/>
      <c r="F34" s="10"/>
      <c r="G34" s="10"/>
      <c r="H34" s="10"/>
      <c r="I34" s="10"/>
      <c r="J34" s="10"/>
      <c r="K34" s="10"/>
      <c r="L34" s="60"/>
    </row>
  </sheetData>
  <mergeCells count="3">
    <mergeCell ref="I1:L1"/>
    <mergeCell ref="L3:L8"/>
    <mergeCell ref="L33:L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2023-12-06T15:12:28Z</dcterms:modified>
</cp:coreProperties>
</file>