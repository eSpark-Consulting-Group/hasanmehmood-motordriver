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hasanmehmood-motordriver\Design-Files\Receiver433MHz-v1.0\Deliverables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Q18" i="1" l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9" i="1" l="1"/>
  <c r="Q20" i="1" s="1"/>
  <c r="Q11" i="1"/>
  <c r="Q10" i="1"/>
  <c r="M11" i="1"/>
  <c r="M10" i="1"/>
  <c r="B11" i="1"/>
  <c r="B10" i="1"/>
</calcChain>
</file>

<file path=xl/sharedStrings.xml><?xml version="1.0" encoding="utf-8"?>
<sst xmlns="http://schemas.openxmlformats.org/spreadsheetml/2006/main" count="130" uniqueCount="92">
  <si>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</si>
  <si>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</si>
  <si>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</si>
  <si>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</si>
  <si>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</si>
  <si>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</si>
  <si>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</si>
  <si>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</si>
  <si>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</si>
  <si>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</si>
  <si>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Male Header</t>
  </si>
  <si>
    <t>Inductor</t>
  </si>
  <si>
    <t>IC</t>
  </si>
  <si>
    <t>Crystals</t>
  </si>
  <si>
    <t>Designator</t>
  </si>
  <si>
    <t>C1</t>
  </si>
  <si>
    <t>C2, C4</t>
  </si>
  <si>
    <t>C3</t>
  </si>
  <si>
    <t>J1</t>
  </si>
  <si>
    <t>J2</t>
  </si>
  <si>
    <t>L1</t>
  </si>
  <si>
    <t>L2</t>
  </si>
  <si>
    <t>U1</t>
  </si>
  <si>
    <t>X1</t>
  </si>
  <si>
    <t>Description</t>
  </si>
  <si>
    <t>50V 2.4pF C0G 0402 Multilayer Ceramic Capacitors MLCC - SMD/SMT ROHS</t>
  </si>
  <si>
    <t>CAP CER 0.1UF 16V X7R 0402</t>
  </si>
  <si>
    <t>50V 6pF C0G 0402 Multilayer Ceramic Capacitors MLCC - SMD/SMT ROHS</t>
  </si>
  <si>
    <t>FIXED IND 27NH 590MA 116MOHM SMD</t>
  </si>
  <si>
    <t>300mA 33nH ±3% 670mΩ 0402 Inductors (SMD) ROHS</t>
  </si>
  <si>
    <t>SOP-8 RF Transceiver ICs ROHS</t>
  </si>
  <si>
    <t>6.7458MHz 20pF ±20ppm HC-49S-SMD Crystals ROHS</t>
  </si>
  <si>
    <t>Footprint</t>
  </si>
  <si>
    <t>Cap-0402</t>
  </si>
  <si>
    <t>HDR1X4_</t>
  </si>
  <si>
    <t>HDR1X2_</t>
  </si>
  <si>
    <t>IND-0603 (1608 Metric)</t>
  </si>
  <si>
    <t>IND-0402</t>
  </si>
  <si>
    <t>SOP-8</t>
  </si>
  <si>
    <t>HC-49S-SMD</t>
  </si>
  <si>
    <t>Manufacturer Part Number</t>
  </si>
  <si>
    <t>0402CG2R4C500NT</t>
  </si>
  <si>
    <t>GRM155R71C104KA88D</t>
  </si>
  <si>
    <t>0402CG6R0C500NT</t>
  </si>
  <si>
    <t>LQW18AN27NG10D</t>
  </si>
  <si>
    <t>LQG15HN33NH02D</t>
  </si>
  <si>
    <t>WF531RA N S8T</t>
  </si>
  <si>
    <t>SXMH6.7458F2020F30</t>
  </si>
  <si>
    <t>Manufacturer</t>
  </si>
  <si>
    <t>FH</t>
  </si>
  <si>
    <t>Murata</t>
  </si>
  <si>
    <t>FH (Guangdong Fenghua Advanced Tech)</t>
  </si>
  <si>
    <t>Ckmtw</t>
  </si>
  <si>
    <t>Murata Electronics</t>
  </si>
  <si>
    <t>WF</t>
  </si>
  <si>
    <t>Shenzhen SCTF Elec</t>
  </si>
  <si>
    <t>LCSC Part Number</t>
  </si>
  <si>
    <t>C48346</t>
  </si>
  <si>
    <t>C71629</t>
  </si>
  <si>
    <t>C1575</t>
  </si>
  <si>
    <t>C701182</t>
  </si>
  <si>
    <t>C2044267</t>
  </si>
  <si>
    <t>C2886629</t>
  </si>
  <si>
    <t>C2901748</t>
  </si>
  <si>
    <t>2.4pF</t>
  </si>
  <si>
    <t>0.1uF</t>
  </si>
  <si>
    <t>6pF</t>
  </si>
  <si>
    <t>27nH</t>
  </si>
  <si>
    <t>33nH</t>
  </si>
  <si>
    <t>Quantity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</si>
  <si>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</si>
  <si>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</si>
  <si>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</si>
  <si>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</si>
  <si>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</si>
  <si>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</si>
  <si>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</si>
  <si>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</si>
  <si>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</si>
  <si>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-</t>
  </si>
  <si>
    <t>LCSC</t>
  </si>
  <si>
    <t>PZ254R-11-04P</t>
  </si>
  <si>
    <t>Right-Angle Square Pins 2.5mm 4P 6mm -40℃~+105℃ 2.54mm Plugin Black Brass 1x4P Push-Pull,P=2.54mm Pin Headers ROHS</t>
  </si>
  <si>
    <t>C492412</t>
  </si>
  <si>
    <t>Right-Angle Square Pins 2.5mm 2P 6mm -40℃~+105℃ 2.54mm Plugin Black Brass 1x2P Push-Pull,P=2.54mm Pin Headers ROHS</t>
  </si>
  <si>
    <t>C492410</t>
  </si>
  <si>
    <t>PZ254R-11-02P</t>
  </si>
  <si>
    <t>Bill of Materials for Project [Receiver_v1.0.]</t>
  </si>
  <si>
    <t>Receiver_v1.0.</t>
  </si>
  <si>
    <t>AC0402BRNPO9BN2R4</t>
  </si>
  <si>
    <t>CL05B104KO5VPNC</t>
  </si>
  <si>
    <t>GCM1555C1H6R0DA16D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</si>
</sst>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7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22" fillId="2" borderId="16" xfId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2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Pin-Headers_XFCN-PZ254R-11-04P_C492412.html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lcsc.com/product-detail/Multilayer-Ceramic-Capacitors-MLCC-SMD-SMT_FH-Guangdong-Fenghua-Advanced-Tech-0402CG6R0C500NT_C1575.html" TargetMode="External"/><Relationship Id="rId7" Type="http://schemas.openxmlformats.org/officeDocument/2006/relationships/hyperlink" Target="https://www.lcsc.com/product-detail/Crystals_Shenzhen-SCTF-Elec-SXMH6-7458F2020F30_C2901748.html" TargetMode="External"/><Relationship Id="rId12" Type="http://schemas.openxmlformats.org/officeDocument/2006/relationships/hyperlink" Target="https://www.lcsc.com/product-detail/Multilayer-Ceramic-Capacitors-MLCC-SMD-SMT_Murata-Electronics-GCM1555C1H6R0DA16D_C437444.html" TargetMode="External"/><Relationship Id="rId2" Type="http://schemas.openxmlformats.org/officeDocument/2006/relationships/hyperlink" Target="https://www.lcsc.com/product-detail/Multilayer-Ceramic-Capacitors-MLCC-SMD-SMT_Murata-Electronics-GRM155R71C104KA88D_C71629.html" TargetMode="External"/><Relationship Id="rId1" Type="http://schemas.openxmlformats.org/officeDocument/2006/relationships/hyperlink" Target="https://www.lcsc.com/product-detail/Multilayer-Ceramic-Capacitors-MLCC-SMD-SMT_FH-Guangdong-Fenghua-Advanced-Tech-0402CG2R4C500NT_C48346.html" TargetMode="External"/><Relationship Id="rId6" Type="http://schemas.openxmlformats.org/officeDocument/2006/relationships/hyperlink" Target="https://www.lcsc.com/product-detail/RF-Transceiver-ICs_WF-WF531RA-N-S8T_C2886629.html" TargetMode="External"/><Relationship Id="rId11" Type="http://schemas.openxmlformats.org/officeDocument/2006/relationships/hyperlink" Target="https://www.lcsc.com/product-detail/Multilayer-Ceramic-Capacitors-MLCC-SMD-SMT_Samsung-Electro-Mechanics-CL05B104KO5VPNC_C307332.html" TargetMode="External"/><Relationship Id="rId5" Type="http://schemas.openxmlformats.org/officeDocument/2006/relationships/hyperlink" Target="https://www.lcsc.com/product-detail/Inductors-SMD_Murata-Electronics-LQG15HN33NH02D_C2044267.html" TargetMode="External"/><Relationship Id="rId10" Type="http://schemas.openxmlformats.org/officeDocument/2006/relationships/hyperlink" Target="https://www.lcsc.com/product-detail/Multilayer-Ceramic-Capacitors-MLCC-SMD-SMT_YAGEO-AC0402BRNPO9BN2R4_C2180898.html" TargetMode="External"/><Relationship Id="rId4" Type="http://schemas.openxmlformats.org/officeDocument/2006/relationships/hyperlink" Target="https://www.lcsc.com/product-detail/Power-Inductors_Murata-Electronics-LQW18AN27NG10D_C701182.html" TargetMode="External"/><Relationship Id="rId9" Type="http://schemas.openxmlformats.org/officeDocument/2006/relationships/hyperlink" Target="https://www.lcsc.com/product-detail/Pin-Headers_XFCN-PZ254R-11-02P_C492410.html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20"/>
  <sheetViews>
    <sheetView tabSelected="1" topLeftCell="G4" workbookViewId="0">
      <selection activeCell="S32" sqref="S32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6.85546875" bestFit="1" customWidth="1"/>
    <col min="21" max="21" width="22" bestFit="1" customWidth="1"/>
  </cols>
  <sheetData>
    <row r="1" spans="1:22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3"/>
      <c r="L1" s="63"/>
      <c r="M1" s="63"/>
      <c r="N1" s="63"/>
      <c r="O1" s="63"/>
      <c r="P1" s="63"/>
      <c r="Q1" s="63"/>
      <c r="R1" s="63"/>
      <c r="S1" s="64"/>
    </row>
    <row r="2" spans="1:22" ht="32.25" thickBot="1" x14ac:dyDescent="0.3">
      <c r="A2" s="1"/>
      <c r="B2" s="21"/>
      <c r="C2" s="31"/>
      <c r="D2" s="11" t="s">
        <v>0</v>
      </c>
      <c r="E2" s="11"/>
      <c r="F2" s="55" t="s">
        <v>87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22" x14ac:dyDescent="0.25">
      <c r="A3" s="1"/>
      <c r="B3" s="22"/>
      <c r="C3" s="32"/>
      <c r="D3" s="13" t="s">
        <v>1</v>
      </c>
      <c r="E3" s="13"/>
      <c r="F3" s="56" t="s">
        <v>88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5"/>
    </row>
    <row r="4" spans="1:22" x14ac:dyDescent="0.25">
      <c r="A4" s="1"/>
      <c r="B4" s="22"/>
      <c r="C4" s="32"/>
      <c r="D4" s="13" t="s">
        <v>2</v>
      </c>
      <c r="E4" s="13"/>
      <c r="F4" s="57" t="s">
        <v>88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6"/>
    </row>
    <row r="5" spans="1:22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6"/>
    </row>
    <row r="6" spans="1:22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6"/>
    </row>
    <row r="7" spans="1:22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6"/>
    </row>
    <row r="8" spans="1:22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6"/>
    </row>
    <row r="9" spans="1:22" ht="15.75" thickBot="1" x14ac:dyDescent="0.3">
      <c r="A9" s="1"/>
      <c r="B9" s="30" t="s">
        <v>4</v>
      </c>
      <c r="C9" s="30" t="s">
        <v>8</v>
      </c>
      <c r="D9" s="30" t="s">
        <v>14</v>
      </c>
      <c r="E9" s="30" t="s">
        <v>24</v>
      </c>
      <c r="F9" s="30" t="s">
        <v>32</v>
      </c>
      <c r="G9" s="30" t="s">
        <v>40</v>
      </c>
      <c r="H9" s="30" t="s">
        <v>48</v>
      </c>
      <c r="I9" s="30" t="s">
        <v>70</v>
      </c>
      <c r="J9" s="30" t="s">
        <v>56</v>
      </c>
      <c r="K9" s="30" t="s">
        <v>71</v>
      </c>
      <c r="L9" s="30" t="s">
        <v>69</v>
      </c>
      <c r="M9" s="30" t="s">
        <v>72</v>
      </c>
      <c r="N9" s="30" t="s">
        <v>73</v>
      </c>
      <c r="O9" s="30" t="s">
        <v>74</v>
      </c>
      <c r="P9" s="30" t="s">
        <v>75</v>
      </c>
      <c r="Q9" s="30" t="s">
        <v>76</v>
      </c>
      <c r="R9" s="30" t="s">
        <v>77</v>
      </c>
      <c r="S9" s="30" t="s">
        <v>78</v>
      </c>
    </row>
    <row r="10" spans="1:22" ht="36" x14ac:dyDescent="0.25">
      <c r="A10" s="1"/>
      <c r="B10" s="46">
        <f>ROW(B10) - ROW($B$9)</f>
        <v>1</v>
      </c>
      <c r="C10" s="53" t="s">
        <v>9</v>
      </c>
      <c r="D10" s="37" t="s">
        <v>15</v>
      </c>
      <c r="E10" s="37" t="s">
        <v>25</v>
      </c>
      <c r="F10" s="37" t="s">
        <v>33</v>
      </c>
      <c r="G10" s="37" t="s">
        <v>41</v>
      </c>
      <c r="H10" s="37" t="s">
        <v>49</v>
      </c>
      <c r="I10" s="37" t="s">
        <v>79</v>
      </c>
      <c r="J10" s="37" t="s">
        <v>57</v>
      </c>
      <c r="K10" s="37" t="s">
        <v>64</v>
      </c>
      <c r="L10" s="37">
        <v>1</v>
      </c>
      <c r="M10" s="37">
        <f>L10*5</f>
        <v>5</v>
      </c>
      <c r="N10" s="37">
        <v>100</v>
      </c>
      <c r="O10" s="60" t="s">
        <v>80</v>
      </c>
      <c r="P10" s="38">
        <v>1.1000000000000001E-3</v>
      </c>
      <c r="Q10" s="38">
        <f>P10*N10</f>
        <v>0.11</v>
      </c>
      <c r="R10" s="37"/>
      <c r="S10" s="50"/>
      <c r="U10" t="s">
        <v>89</v>
      </c>
      <c r="V10" s="73" t="s">
        <v>80</v>
      </c>
    </row>
    <row r="11" spans="1:22" x14ac:dyDescent="0.25">
      <c r="A11" s="1"/>
      <c r="B11" s="47">
        <f t="shared" ref="B11:B17" si="0">ROW(B11) - ROW($B$9)</f>
        <v>2</v>
      </c>
      <c r="C11" s="54" t="s">
        <v>9</v>
      </c>
      <c r="D11" s="51" t="s">
        <v>16</v>
      </c>
      <c r="E11" s="51" t="s">
        <v>26</v>
      </c>
      <c r="F11" s="51" t="s">
        <v>33</v>
      </c>
      <c r="G11" s="51" t="s">
        <v>42</v>
      </c>
      <c r="H11" s="51" t="s">
        <v>50</v>
      </c>
      <c r="I11" s="51" t="s">
        <v>79</v>
      </c>
      <c r="J11" s="51" t="s">
        <v>58</v>
      </c>
      <c r="K11" s="51" t="s">
        <v>65</v>
      </c>
      <c r="L11" s="51">
        <v>2</v>
      </c>
      <c r="M11" s="51">
        <f t="shared" ref="M11" si="1">L11*5</f>
        <v>10</v>
      </c>
      <c r="N11" s="51">
        <v>100</v>
      </c>
      <c r="O11" s="61" t="s">
        <v>80</v>
      </c>
      <c r="P11" s="52">
        <v>1.5E-3</v>
      </c>
      <c r="Q11" s="52">
        <f t="shared" ref="Q11" si="2">P11*N11</f>
        <v>0.15</v>
      </c>
      <c r="R11" s="51"/>
      <c r="S11" s="51"/>
      <c r="U11" t="s">
        <v>90</v>
      </c>
      <c r="V11" s="73" t="s">
        <v>80</v>
      </c>
    </row>
    <row r="12" spans="1:22" ht="24" x14ac:dyDescent="0.25">
      <c r="A12" s="1"/>
      <c r="B12" s="46">
        <f>ROW(B12) - ROW($B$9)</f>
        <v>3</v>
      </c>
      <c r="C12" s="53" t="s">
        <v>9</v>
      </c>
      <c r="D12" s="37" t="s">
        <v>17</v>
      </c>
      <c r="E12" s="37" t="s">
        <v>27</v>
      </c>
      <c r="F12" s="37" t="s">
        <v>33</v>
      </c>
      <c r="G12" s="37" t="s">
        <v>43</v>
      </c>
      <c r="H12" s="37" t="s">
        <v>51</v>
      </c>
      <c r="I12" s="37" t="s">
        <v>79</v>
      </c>
      <c r="J12" s="37" t="s">
        <v>59</v>
      </c>
      <c r="K12" s="37" t="s">
        <v>66</v>
      </c>
      <c r="L12" s="37">
        <v>1</v>
      </c>
      <c r="M12" s="37">
        <f>L12*5</f>
        <v>5</v>
      </c>
      <c r="N12" s="37">
        <v>100</v>
      </c>
      <c r="O12" s="60" t="s">
        <v>80</v>
      </c>
      <c r="P12" s="38">
        <v>1.1000000000000001E-3</v>
      </c>
      <c r="Q12" s="38">
        <f>P12*N12</f>
        <v>0.11</v>
      </c>
      <c r="R12" s="37"/>
      <c r="S12" s="59"/>
      <c r="U12" t="s">
        <v>91</v>
      </c>
      <c r="V12" s="73" t="s">
        <v>80</v>
      </c>
    </row>
    <row r="13" spans="1:22" ht="48" x14ac:dyDescent="0.25">
      <c r="A13" s="1"/>
      <c r="B13" s="47">
        <f t="shared" si="0"/>
        <v>4</v>
      </c>
      <c r="C13" s="53" t="s">
        <v>10</v>
      </c>
      <c r="D13" s="51" t="s">
        <v>18</v>
      </c>
      <c r="E13" s="51" t="s">
        <v>82</v>
      </c>
      <c r="F13" s="51" t="s">
        <v>34</v>
      </c>
      <c r="G13" s="62" t="s">
        <v>81</v>
      </c>
      <c r="H13" s="51" t="s">
        <v>52</v>
      </c>
      <c r="I13" s="51" t="s">
        <v>79</v>
      </c>
      <c r="J13" s="51" t="s">
        <v>83</v>
      </c>
      <c r="K13" s="51" t="s">
        <v>79</v>
      </c>
      <c r="L13" s="51">
        <v>1</v>
      </c>
      <c r="M13" s="51">
        <f t="shared" ref="M13" si="3">L13*5</f>
        <v>5</v>
      </c>
      <c r="N13" s="51">
        <v>20</v>
      </c>
      <c r="O13" s="61" t="s">
        <v>80</v>
      </c>
      <c r="P13" s="52">
        <v>2.46E-2</v>
      </c>
      <c r="Q13" s="52">
        <f t="shared" ref="Q13" si="4">P13*N13</f>
        <v>0.49199999999999999</v>
      </c>
      <c r="R13" s="51"/>
      <c r="S13" s="59"/>
      <c r="V13" t="s">
        <v>80</v>
      </c>
    </row>
    <row r="14" spans="1:22" ht="48" x14ac:dyDescent="0.25">
      <c r="A14" s="1"/>
      <c r="B14" s="46">
        <f>ROW(B14) - ROW($B$9)</f>
        <v>5</v>
      </c>
      <c r="C14" s="53" t="s">
        <v>10</v>
      </c>
      <c r="D14" s="37" t="s">
        <v>19</v>
      </c>
      <c r="E14" s="37" t="s">
        <v>84</v>
      </c>
      <c r="F14" s="37" t="s">
        <v>35</v>
      </c>
      <c r="G14" s="62" t="s">
        <v>86</v>
      </c>
      <c r="H14" s="51" t="s">
        <v>52</v>
      </c>
      <c r="I14" s="37" t="s">
        <v>79</v>
      </c>
      <c r="J14" s="37" t="s">
        <v>85</v>
      </c>
      <c r="K14" s="37" t="s">
        <v>79</v>
      </c>
      <c r="L14" s="37">
        <v>1</v>
      </c>
      <c r="M14" s="37">
        <f>L14*5</f>
        <v>5</v>
      </c>
      <c r="N14" s="37">
        <v>50</v>
      </c>
      <c r="O14" s="60" t="s">
        <v>80</v>
      </c>
      <c r="P14" s="38">
        <v>1.23E-2</v>
      </c>
      <c r="Q14" s="38">
        <f>P14*N14</f>
        <v>0.61499999999999999</v>
      </c>
      <c r="R14" s="37"/>
      <c r="S14" s="59"/>
      <c r="V14" t="s">
        <v>80</v>
      </c>
    </row>
    <row r="15" spans="1:22" ht="24" x14ac:dyDescent="0.25">
      <c r="A15" s="1"/>
      <c r="B15" s="47">
        <f t="shared" si="0"/>
        <v>6</v>
      </c>
      <c r="C15" s="54" t="s">
        <v>11</v>
      </c>
      <c r="D15" s="51" t="s">
        <v>20</v>
      </c>
      <c r="E15" s="51" t="s">
        <v>28</v>
      </c>
      <c r="F15" s="51" t="s">
        <v>36</v>
      </c>
      <c r="G15" s="51" t="s">
        <v>44</v>
      </c>
      <c r="H15" s="51" t="s">
        <v>50</v>
      </c>
      <c r="I15" s="37" t="s">
        <v>79</v>
      </c>
      <c r="J15" s="51" t="s">
        <v>60</v>
      </c>
      <c r="K15" s="51" t="s">
        <v>67</v>
      </c>
      <c r="L15" s="51">
        <v>1</v>
      </c>
      <c r="M15" s="51">
        <f t="shared" ref="M15" si="5">L15*5</f>
        <v>5</v>
      </c>
      <c r="N15" s="51">
        <v>10</v>
      </c>
      <c r="O15" s="61" t="s">
        <v>80</v>
      </c>
      <c r="P15" s="52">
        <v>5.5899999999999998E-2</v>
      </c>
      <c r="Q15" s="52">
        <f t="shared" ref="Q15" si="6">P15*N15</f>
        <v>0.55899999999999994</v>
      </c>
      <c r="R15" s="51"/>
      <c r="S15" s="59"/>
      <c r="V15" t="s">
        <v>80</v>
      </c>
    </row>
    <row r="16" spans="1:22" ht="24" x14ac:dyDescent="0.25">
      <c r="A16" s="1"/>
      <c r="B16" s="46">
        <f>ROW(B16) - ROW($B$9)</f>
        <v>7</v>
      </c>
      <c r="C16" s="53" t="s">
        <v>11</v>
      </c>
      <c r="D16" s="37" t="s">
        <v>21</v>
      </c>
      <c r="E16" s="37" t="s">
        <v>29</v>
      </c>
      <c r="F16" s="37" t="s">
        <v>37</v>
      </c>
      <c r="G16" s="37" t="s">
        <v>45</v>
      </c>
      <c r="H16" s="37" t="s">
        <v>53</v>
      </c>
      <c r="I16" s="51" t="s">
        <v>79</v>
      </c>
      <c r="J16" s="37" t="s">
        <v>61</v>
      </c>
      <c r="K16" s="37" t="s">
        <v>68</v>
      </c>
      <c r="L16" s="37">
        <v>1</v>
      </c>
      <c r="M16" s="37">
        <f>L16*5</f>
        <v>5</v>
      </c>
      <c r="N16" s="37">
        <v>20</v>
      </c>
      <c r="O16" s="60" t="s">
        <v>80</v>
      </c>
      <c r="P16" s="38">
        <v>3.3000000000000002E-2</v>
      </c>
      <c r="Q16" s="38">
        <f>P16*N16</f>
        <v>0.66</v>
      </c>
      <c r="R16" s="37"/>
      <c r="S16" s="59"/>
      <c r="V16" t="s">
        <v>80</v>
      </c>
    </row>
    <row r="17" spans="1:22" x14ac:dyDescent="0.25">
      <c r="A17" s="1"/>
      <c r="B17" s="47">
        <f t="shared" si="0"/>
        <v>8</v>
      </c>
      <c r="C17" s="54" t="s">
        <v>12</v>
      </c>
      <c r="D17" s="51" t="s">
        <v>22</v>
      </c>
      <c r="E17" s="51" t="s">
        <v>30</v>
      </c>
      <c r="F17" s="51" t="s">
        <v>38</v>
      </c>
      <c r="G17" s="51" t="s">
        <v>46</v>
      </c>
      <c r="H17" s="51" t="s">
        <v>54</v>
      </c>
      <c r="I17" s="37" t="s">
        <v>79</v>
      </c>
      <c r="J17" s="51" t="s">
        <v>62</v>
      </c>
      <c r="K17" s="51" t="s">
        <v>79</v>
      </c>
      <c r="L17" s="51">
        <v>1</v>
      </c>
      <c r="M17" s="51">
        <f t="shared" ref="M17" si="7">L17*5</f>
        <v>5</v>
      </c>
      <c r="N17" s="51">
        <v>6</v>
      </c>
      <c r="O17" s="61" t="s">
        <v>80</v>
      </c>
      <c r="P17" s="52">
        <v>0.1641</v>
      </c>
      <c r="Q17" s="52">
        <f t="shared" ref="Q17" si="8">P17*N17</f>
        <v>0.98459999999999992</v>
      </c>
      <c r="R17" s="51"/>
      <c r="S17" s="59"/>
      <c r="V17" t="s">
        <v>80</v>
      </c>
    </row>
    <row r="18" spans="1:22" ht="24.75" thickBot="1" x14ac:dyDescent="0.3">
      <c r="A18" s="1"/>
      <c r="B18" s="46">
        <f>ROW(B18) - ROW($B$9)</f>
        <v>9</v>
      </c>
      <c r="C18" s="53" t="s">
        <v>13</v>
      </c>
      <c r="D18" s="37" t="s">
        <v>23</v>
      </c>
      <c r="E18" s="37" t="s">
        <v>31</v>
      </c>
      <c r="F18" s="37" t="s">
        <v>39</v>
      </c>
      <c r="G18" s="37" t="s">
        <v>47</v>
      </c>
      <c r="H18" s="37" t="s">
        <v>55</v>
      </c>
      <c r="I18" s="37" t="s">
        <v>79</v>
      </c>
      <c r="J18" s="37" t="s">
        <v>63</v>
      </c>
      <c r="K18" s="37" t="s">
        <v>79</v>
      </c>
      <c r="L18" s="37">
        <v>1</v>
      </c>
      <c r="M18" s="37">
        <f>L18*5</f>
        <v>5</v>
      </c>
      <c r="N18" s="37">
        <v>10</v>
      </c>
      <c r="O18" s="60" t="s">
        <v>80</v>
      </c>
      <c r="P18" s="38">
        <v>8.6699999999999999E-2</v>
      </c>
      <c r="Q18" s="38">
        <f>P18*N18</f>
        <v>0.86699999999999999</v>
      </c>
      <c r="R18" s="37"/>
      <c r="S18" s="39"/>
      <c r="V18" t="s">
        <v>80</v>
      </c>
    </row>
    <row r="19" spans="1:22" ht="19.5" thickBot="1" x14ac:dyDescent="0.3">
      <c r="A19" s="1"/>
      <c r="B19" s="40"/>
      <c r="C19" s="41"/>
      <c r="D19" s="42"/>
      <c r="E19" s="43"/>
      <c r="F19" s="44"/>
      <c r="G19" s="45"/>
      <c r="H19" s="44"/>
      <c r="I19" s="45"/>
      <c r="J19" s="44"/>
      <c r="K19" s="45"/>
      <c r="L19" s="45"/>
      <c r="M19" s="45"/>
      <c r="N19" s="71" t="s">
        <v>5</v>
      </c>
      <c r="O19" s="72"/>
      <c r="P19" s="72"/>
      <c r="Q19" s="48">
        <f>SUM(Q10:Q18)</f>
        <v>4.5475999999999992</v>
      </c>
      <c r="R19" s="67"/>
      <c r="S19" s="68"/>
    </row>
    <row r="20" spans="1:22" ht="19.5" thickBot="1" x14ac:dyDescent="0.3">
      <c r="A20" s="1"/>
      <c r="B20" s="25"/>
      <c r="C20" s="36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71" t="s">
        <v>6</v>
      </c>
      <c r="O20" s="72"/>
      <c r="P20" s="72"/>
      <c r="Q20" s="49">
        <f>Q19/5</f>
        <v>0.90951999999999988</v>
      </c>
      <c r="R20" s="69"/>
      <c r="S20" s="70"/>
    </row>
  </sheetData>
  <mergeCells count="5">
    <mergeCell ref="K1:S1"/>
    <mergeCell ref="S3:S8"/>
    <mergeCell ref="R19:S20"/>
    <mergeCell ref="N19:P19"/>
    <mergeCell ref="N20:P20"/>
  </mergeCells>
  <hyperlinks>
    <hyperlink ref="O10" r:id="rId1"/>
    <hyperlink ref="O11" r:id="rId2"/>
    <hyperlink ref="O12" r:id="rId3"/>
    <hyperlink ref="O15" r:id="rId4"/>
    <hyperlink ref="O16" r:id="rId5"/>
    <hyperlink ref="O17" r:id="rId6"/>
    <hyperlink ref="O18" r:id="rId7"/>
    <hyperlink ref="O13" r:id="rId8"/>
    <hyperlink ref="O14" r:id="rId9"/>
    <hyperlink ref="V10" r:id="rId10"/>
    <hyperlink ref="V11" r:id="rId11"/>
    <hyperlink ref="V12" r:id="rId12"/>
  </hyperlinks>
  <pageMargins left="0.7" right="0.7" top="0.75" bottom="0.75" header="0.3" footer="0.3"/>
  <pageSetup paperSize="9" orientation="portrait" r:id="rId13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2023-12-07T15:46:23Z</dcterms:modified>
</cp:coreProperties>
</file>