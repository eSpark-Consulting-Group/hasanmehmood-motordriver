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eSpark-Consultants\hasanmehmood-motordriver\Design-Files\Deliverables\BOM\"/>
    </mc:Choice>
  </mc:AlternateContent>
  <bookViews>
    <workbookView xWindow="0" yWindow="0" windowWidth="23040" windowHeight="915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M63" i="1" l="1"/>
  <c r="Q64" i="1"/>
  <c r="Q62" i="1"/>
  <c r="Q63" i="1"/>
  <c r="M62" i="1"/>
  <c r="Q61" i="1"/>
  <c r="M61" i="1"/>
  <c r="Q60" i="1"/>
  <c r="M60" i="1"/>
  <c r="B60" i="1"/>
  <c r="B61" i="1"/>
  <c r="B62" i="1"/>
  <c r="B63" i="1"/>
  <c r="Q59" i="1"/>
  <c r="M59" i="1"/>
  <c r="B59" i="1"/>
  <c r="Q58" i="1"/>
  <c r="M58" i="1"/>
  <c r="B58" i="1"/>
  <c r="Q57" i="1"/>
  <c r="M57" i="1"/>
  <c r="B57" i="1"/>
  <c r="Q56" i="1"/>
  <c r="M56" i="1"/>
  <c r="B56" i="1"/>
  <c r="Q55" i="1"/>
  <c r="M55" i="1"/>
  <c r="B55" i="1"/>
  <c r="Q54" i="1"/>
  <c r="M54" i="1"/>
  <c r="B54" i="1"/>
  <c r="Q53" i="1"/>
  <c r="M53" i="1"/>
  <c r="B53" i="1"/>
  <c r="Q52" i="1"/>
  <c r="M52" i="1"/>
  <c r="B52" i="1"/>
  <c r="Q51" i="1"/>
  <c r="M51" i="1"/>
  <c r="B51" i="1"/>
  <c r="Q50" i="1"/>
  <c r="M50" i="1"/>
  <c r="B50" i="1"/>
  <c r="Q49" i="1"/>
  <c r="M49" i="1"/>
  <c r="B49" i="1"/>
  <c r="Q48" i="1"/>
  <c r="M48" i="1"/>
  <c r="B48" i="1"/>
  <c r="Q47" i="1"/>
  <c r="M47" i="1"/>
  <c r="B47" i="1"/>
  <c r="Q46" i="1"/>
  <c r="M46" i="1"/>
  <c r="B46" i="1"/>
  <c r="Q45" i="1"/>
  <c r="M45" i="1"/>
  <c r="B45" i="1"/>
  <c r="Q44" i="1"/>
  <c r="M44" i="1"/>
  <c r="B44" i="1"/>
  <c r="Q43" i="1"/>
  <c r="M43" i="1"/>
  <c r="B43" i="1"/>
  <c r="Q42" i="1"/>
  <c r="M42" i="1"/>
  <c r="B42" i="1"/>
  <c r="Q41" i="1"/>
  <c r="M41" i="1"/>
  <c r="B41" i="1"/>
  <c r="Q40" i="1"/>
  <c r="M40" i="1"/>
  <c r="B40" i="1"/>
  <c r="Q39" i="1"/>
  <c r="M39" i="1"/>
  <c r="B39" i="1"/>
  <c r="Q38" i="1"/>
  <c r="M38" i="1"/>
  <c r="B38" i="1"/>
  <c r="Q37" i="1"/>
  <c r="M37" i="1"/>
  <c r="B37" i="1"/>
  <c r="Q36" i="1"/>
  <c r="M36" i="1"/>
  <c r="B36" i="1"/>
  <c r="Q35" i="1"/>
  <c r="M35" i="1"/>
  <c r="B35" i="1"/>
  <c r="Q34" i="1"/>
  <c r="M34" i="1"/>
  <c r="B34" i="1"/>
  <c r="Q33" i="1"/>
  <c r="M33" i="1"/>
  <c r="B33" i="1"/>
  <c r="Q32" i="1"/>
  <c r="M32" i="1"/>
  <c r="B32" i="1"/>
  <c r="Q31" i="1"/>
  <c r="M31" i="1"/>
  <c r="B31" i="1"/>
  <c r="Q30" i="1"/>
  <c r="M30" i="1"/>
  <c r="B30" i="1"/>
  <c r="M29" i="1"/>
  <c r="B29" i="1"/>
  <c r="Q28" i="1"/>
  <c r="M28" i="1"/>
  <c r="B28" i="1"/>
  <c r="M27" i="1"/>
  <c r="B27" i="1"/>
  <c r="Q26" i="1"/>
  <c r="M26" i="1"/>
  <c r="B26" i="1"/>
  <c r="Q25" i="1"/>
  <c r="M25" i="1"/>
  <c r="B25" i="1"/>
  <c r="Q24" i="1"/>
  <c r="M24" i="1"/>
  <c r="B24" i="1"/>
  <c r="Q23" i="1"/>
  <c r="M23" i="1"/>
  <c r="B23" i="1"/>
  <c r="Q22" i="1"/>
  <c r="M22" i="1"/>
  <c r="B22" i="1"/>
  <c r="Q21" i="1"/>
  <c r="M21" i="1"/>
  <c r="B21" i="1"/>
  <c r="Q20" i="1"/>
  <c r="M20" i="1"/>
  <c r="B20" i="1"/>
  <c r="Q19" i="1"/>
  <c r="M19" i="1"/>
  <c r="B19" i="1"/>
  <c r="Q18" i="1"/>
  <c r="M18" i="1"/>
  <c r="B18" i="1"/>
  <c r="Q17" i="1"/>
  <c r="M17" i="1"/>
  <c r="B17" i="1"/>
  <c r="Q16" i="1"/>
  <c r="M16" i="1"/>
  <c r="B16" i="1"/>
  <c r="Q15" i="1"/>
  <c r="M15" i="1"/>
  <c r="B15" i="1"/>
  <c r="Q14" i="1"/>
  <c r="M14" i="1"/>
  <c r="B14" i="1"/>
  <c r="Q13" i="1"/>
  <c r="M13" i="1"/>
  <c r="B13" i="1"/>
  <c r="Q12" i="1"/>
  <c r="M12" i="1"/>
  <c r="B12" i="1"/>
  <c r="Q11" i="1"/>
  <c r="M11" i="1"/>
  <c r="B11" i="1"/>
  <c r="Q10" i="1"/>
  <c r="M10" i="1"/>
  <c r="B10" i="1"/>
  <c r="Q65" i="1" l="1"/>
</calcChain>
</file>

<file path=xl/sharedStrings.xml><?xml version="1.0" encoding="utf-8"?>
<sst xmlns="http://schemas.openxmlformats.org/spreadsheetml/2006/main" count="570" uniqueCount="335">
  <si>
    <t>Component list</t>
  </si>
  <si>
    <t>Bill of Materials for Project [MotorDriver_Board]</t>
  </si>
  <si>
    <t>Source Data From:</t>
  </si>
  <si>
    <t>MotorDriver_Board]</t>
  </si>
  <si>
    <t>Project:</t>
  </si>
  <si>
    <t>Variant:</t>
  </si>
  <si>
    <t>None</t>
  </si>
  <si>
    <t>#</t>
  </si>
  <si>
    <t>Item Type</t>
  </si>
  <si>
    <t>Designator</t>
  </si>
  <si>
    <t>Description</t>
  </si>
  <si>
    <t>Footprint</t>
  </si>
  <si>
    <t>Manufacturer Part Number</t>
  </si>
  <si>
    <t>Manufacturer</t>
  </si>
  <si>
    <t>Alternate Part Number</t>
  </si>
  <si>
    <t>LCSC Part Number</t>
  </si>
  <si>
    <t>Value</t>
  </si>
  <si>
    <t>Quantity</t>
  </si>
  <si>
    <t>Quantity (5 Boards)</t>
  </si>
  <si>
    <t>MOQ (5 Boards)</t>
  </si>
  <si>
    <t>Links</t>
  </si>
  <si>
    <t>Unit Cost (5 Boards)</t>
  </si>
  <si>
    <t>Total Cost (5 Boards)</t>
  </si>
  <si>
    <t>Remarks</t>
  </si>
  <si>
    <t>Reviewer Remarks</t>
  </si>
  <si>
    <t>Capacitor</t>
  </si>
  <si>
    <t>C2</t>
  </si>
  <si>
    <t>±20% 2.2nF Y5U 2kV Plugin,P=7.5mm Ceramic Disc Capacitors ROHS</t>
  </si>
  <si>
    <t>Custom</t>
  </si>
  <si>
    <t>R08E1E222MN0B0S0N0</t>
  </si>
  <si>
    <t>STE</t>
  </si>
  <si>
    <t>-</t>
  </si>
  <si>
    <t>C2914748</t>
  </si>
  <si>
    <t>2.2nF</t>
  </si>
  <si>
    <t>LCSC</t>
  </si>
  <si>
    <t>C3, C4, C8, C10, C20</t>
  </si>
  <si>
    <t>CAP CER 0.1UF 50V X5R 0603</t>
  </si>
  <si>
    <t>Cap-0603</t>
  </si>
  <si>
    <t>CC0603KRX5R9BB104</t>
  </si>
  <si>
    <t>Yageo</t>
  </si>
  <si>
    <t>C110022</t>
  </si>
  <si>
    <t>100nF</t>
  </si>
  <si>
    <t>C5</t>
  </si>
  <si>
    <t>470uF 35V ±20% Plugin,D10xL13mm Aluminum Electrolytic Capacitors - Leaded ROHS</t>
  </si>
  <si>
    <t>GR1V471M1013</t>
  </si>
  <si>
    <t>ROQANG</t>
  </si>
  <si>
    <t>C2873995</t>
  </si>
  <si>
    <t>470uF</t>
  </si>
  <si>
    <t>C6, C7, C12</t>
  </si>
  <si>
    <t>CAP CER 10000PF 50V C0G/NP0 0603</t>
  </si>
  <si>
    <t>GRM1885C1H103JA01D</t>
  </si>
  <si>
    <t>Murata</t>
  </si>
  <si>
    <t>GCM188L81H103KA03D</t>
  </si>
  <si>
    <t>C3011688</t>
  </si>
  <si>
    <t>0.01uF</t>
  </si>
  <si>
    <t>C9</t>
  </si>
  <si>
    <t>CAP CER 0603 1nF 25 V ±10 % Tolerance X7R SMT</t>
  </si>
  <si>
    <t>CC0603KRX7R8BB102</t>
  </si>
  <si>
    <t>C519404</t>
  </si>
  <si>
    <t>1nF</t>
  </si>
  <si>
    <t>C11</t>
  </si>
  <si>
    <t>4.7uF 100V ±20% Plugin,D5xL11mm Aluminum Electrolytic Capacitors - Leaded ROHS</t>
  </si>
  <si>
    <t>ERS1KM4R7D11OT</t>
  </si>
  <si>
    <t>AISHI(Aihua Group)</t>
  </si>
  <si>
    <t>C106689</t>
  </si>
  <si>
    <t>4.7uF</t>
  </si>
  <si>
    <t>C13, C14, C15, C16, C17, C18</t>
  </si>
  <si>
    <t>CAP CER 0.22UF 100V X7R 0805</t>
  </si>
  <si>
    <t>Cap-0805</t>
  </si>
  <si>
    <t>08051C224K4T2A</t>
  </si>
  <si>
    <t>Kyocera AVX</t>
  </si>
  <si>
    <t>C2176107</t>
  </si>
  <si>
    <t>220nF</t>
  </si>
  <si>
    <t>C19</t>
  </si>
  <si>
    <t>100nF ±10% X2 Plugin,P=10mm Suppression Capacitors ROHS</t>
  </si>
  <si>
    <t>MPX104K31C3KN15600</t>
  </si>
  <si>
    <t>KNSCHA</t>
  </si>
  <si>
    <t>C489079</t>
  </si>
  <si>
    <t>0.1uF/275V</t>
  </si>
  <si>
    <t>Diode</t>
  </si>
  <si>
    <t>D4, D5, D6</t>
  </si>
  <si>
    <t>1A 1000V 1.1V@2A DO-41 Diodes - General Purpose ROHS</t>
  </si>
  <si>
    <t>DO-41</t>
  </si>
  <si>
    <t>1N4007</t>
  </si>
  <si>
    <t>JUXING</t>
  </si>
  <si>
    <t>C3011149</t>
  </si>
  <si>
    <t>D7</t>
  </si>
  <si>
    <t>TVS DIODE 6.4VWM 11.3VC DO204AC</t>
  </si>
  <si>
    <t>P6KE7.5A</t>
  </si>
  <si>
    <t>Littelfuse</t>
  </si>
  <si>
    <t>C1975000</t>
  </si>
  <si>
    <t>D1, D2, D3, D8, D9, D10, D11, D12, D13, D14, D#2, D#3, D#4, D#5, D#6, D#7, D#8, D#9</t>
  </si>
  <si>
    <t>DIODE GEN PURP 100V 300MA SOD123</t>
  </si>
  <si>
    <t>SOD-123</t>
  </si>
  <si>
    <t>1N4148W-7-F</t>
  </si>
  <si>
    <t>Diodes</t>
  </si>
  <si>
    <t>C83528</t>
  </si>
  <si>
    <t>Terminal Block</t>
  </si>
  <si>
    <t>J1</t>
  </si>
  <si>
    <t>320V 20A 8 Straight pin -40℃~+105℃ 1 5.08mm 1x8P Green Board Edge/Receptacle-Close Plugin,P=5.08mm Pluggable System Terminal Block ROHS</t>
  </si>
  <si>
    <t>DB2EVC-5.08-8P-GN</t>
  </si>
  <si>
    <t>DIBO</t>
  </si>
  <si>
    <t>C395784</t>
  </si>
  <si>
    <t>J2</t>
  </si>
  <si>
    <t>320V 20A 12 Straight pin -40℃~+105℃ 1 5.08mm 1x12P Green Board Edge/Receptacle-Close Plugin,P=5.08mm Pluggable System Terminal Block ROHS</t>
  </si>
  <si>
    <t>DB2EVC-5.08-12P-GN</t>
  </si>
  <si>
    <t>C395823</t>
  </si>
  <si>
    <t>Header</t>
  </si>
  <si>
    <t>J3</t>
  </si>
  <si>
    <t>Straight 2.54mm Black Brass 1x3P Plugin,P=2.54mm Pin Headers ROHS</t>
  </si>
  <si>
    <t>HDR1X3_</t>
  </si>
  <si>
    <t>B-2100S03P-A110</t>
  </si>
  <si>
    <t>Ckmtw</t>
  </si>
  <si>
    <t>C124376</t>
  </si>
  <si>
    <t>J4</t>
  </si>
  <si>
    <t>2.54mm Plugin 3A 2P Straight 1x2P 8.5mm Top Square Holes Plugin,P=2.54mm Female Headers ROHS</t>
  </si>
  <si>
    <t>HDR1X2 (Female)</t>
  </si>
  <si>
    <t>DM254R-11-02-85</t>
  </si>
  <si>
    <t>DEALON</t>
  </si>
  <si>
    <t>C2935973</t>
  </si>
  <si>
    <t>J5</t>
  </si>
  <si>
    <t>CONN HEADER FEMALE 4POS .1 TIN</t>
  </si>
  <si>
    <t>HDR1X4 Female</t>
  </si>
  <si>
    <t>PPTC041LFBN-RC</t>
  </si>
  <si>
    <t>Sullins</t>
  </si>
  <si>
    <t>DM254R-11-04-85</t>
  </si>
  <si>
    <t>C2935975</t>
  </si>
  <si>
    <t>J7</t>
  </si>
  <si>
    <t>J8</t>
  </si>
  <si>
    <t>DNP</t>
  </si>
  <si>
    <t>Do Not Place</t>
  </si>
  <si>
    <t>Fuse Holder</t>
  </si>
  <si>
    <t>J10</t>
  </si>
  <si>
    <t>Fuse Holder 6.3A 250VDC/250VAC Through Hole Pin</t>
  </si>
  <si>
    <t>0PTF0078P</t>
  </si>
  <si>
    <t>C2760101</t>
  </si>
  <si>
    <t>Female Header</t>
  </si>
  <si>
    <t>J#1, J#2</t>
  </si>
  <si>
    <t>2.54mm Plugin Straight 1x5P 5 Plugin,P=2.54mm Female Headers ROHS</t>
  </si>
  <si>
    <t>HDR 1x5 Female</t>
  </si>
  <si>
    <t>C50950</t>
  </si>
  <si>
    <t>BOOMELE</t>
  </si>
  <si>
    <t>J#4</t>
  </si>
  <si>
    <t>1x2P 18A -40℃~+105℃ 250V Black 12~30 Straight pin 5.08mm 2.5 1 2 Plugin,P=5.08mm Screw terminal ROHS</t>
  </si>
  <si>
    <t>DB128L-5.08-2P-BK-S</t>
  </si>
  <si>
    <t>C430601</t>
  </si>
  <si>
    <t>Wire To Board Connector</t>
  </si>
  <si>
    <t>J#5</t>
  </si>
  <si>
    <t>1x4P 1 2.54mm Male pin 4 -25℃~+85℃ 3A Straight Plugin,P=2.54mm Wire To Board / Wire To Wire Connector ROHS</t>
  </si>
  <si>
    <t>M2510V-04P</t>
  </si>
  <si>
    <t>XFCN</t>
  </si>
  <si>
    <t>C2764792</t>
  </si>
  <si>
    <t>Relay</t>
  </si>
  <si>
    <t>K1, K2, K3</t>
  </si>
  <si>
    <t>RELAY GEN PURPOSE SPST 16A 12V</t>
  </si>
  <si>
    <t>G5RL-1A-E-HRDC12</t>
  </si>
  <si>
    <t>Omron</t>
  </si>
  <si>
    <t>C231374</t>
  </si>
  <si>
    <t>LED</t>
  </si>
  <si>
    <t>LED15, LED16, LED17, LED18, LED19, LED20, LED21, LED22</t>
  </si>
  <si>
    <t>blue 0603 Light Emitting Diodes (LED) ROHS</t>
  </si>
  <si>
    <t>LED-0603</t>
  </si>
  <si>
    <t>NCD0603B3</t>
  </si>
  <si>
    <t>Foshan NationStar Optoelectronics</t>
  </si>
  <si>
    <t>C158101</t>
  </si>
  <si>
    <t>TRIAC</t>
  </si>
  <si>
    <t>Q1, Q2</t>
  </si>
  <si>
    <t>TRIAC Standard 600V 16A Through Hole TO-220AB</t>
  </si>
  <si>
    <t>TO-220</t>
  </si>
  <si>
    <t>BTA16-600BRG</t>
  </si>
  <si>
    <t>STMicroelectronics</t>
  </si>
  <si>
    <t>C9100</t>
  </si>
  <si>
    <t>Transistor</t>
  </si>
  <si>
    <t>Q4, Q5, Q6, Q7</t>
  </si>
  <si>
    <t>45V 300mW 100@100mA,1V 500mA NPN SOT-23 Bipolar Transistors - BJT ROHS</t>
  </si>
  <si>
    <t>SOT-23</t>
  </si>
  <si>
    <t>BC817 6B 160-400</t>
  </si>
  <si>
    <t>DOWO</t>
  </si>
  <si>
    <t>C371086</t>
  </si>
  <si>
    <t>Through Hole Resistor</t>
  </si>
  <si>
    <t>R1, R2, R5, R6</t>
  </si>
  <si>
    <t>Metal Oxide Resistors 390Ω 1W ±350ppm/℃ ±5% Plugin Through Hole Resistors ROHS</t>
  </si>
  <si>
    <t>TH390R</t>
  </si>
  <si>
    <t>FR1/2W-390Ω±5%-2T52</t>
  </si>
  <si>
    <t xml:space="preserve">VO </t>
  </si>
  <si>
    <t>C601800</t>
  </si>
  <si>
    <t>390R</t>
  </si>
  <si>
    <t>R3, R4</t>
  </si>
  <si>
    <t>Metal Film Resistors 0Ω 500mW Plugin Through Hole Resistors ROHS</t>
  </si>
  <si>
    <t>MFR50S-T-52-0R</t>
  </si>
  <si>
    <t>YAGEO</t>
  </si>
  <si>
    <t>C173163</t>
  </si>
  <si>
    <t>0R</t>
  </si>
  <si>
    <t>Resistor</t>
  </si>
  <si>
    <t>R7, R8, R9</t>
  </si>
  <si>
    <t>RES SMD 1K OHM 0.5% 1/10W 0603</t>
  </si>
  <si>
    <t>Res-0603</t>
  </si>
  <si>
    <t>RT0603DRD071KL</t>
  </si>
  <si>
    <t>C165964</t>
  </si>
  <si>
    <t>1K</t>
  </si>
  <si>
    <t>R10, R33, R34, R35, R36, R38</t>
  </si>
  <si>
    <t>RES 1.5K OHM 1% 1/10W 0603</t>
  </si>
  <si>
    <t>RC0603FR-071K5L</t>
  </si>
  <si>
    <t>C114668</t>
  </si>
  <si>
    <t>1.5K</t>
  </si>
  <si>
    <t>R11, R16, R25, R29</t>
  </si>
  <si>
    <t>RES 100K OHM 5% 1/10W 0603</t>
  </si>
  <si>
    <t>RC0603JR-07100KL</t>
  </si>
  <si>
    <t>C100048</t>
  </si>
  <si>
    <t>100K</t>
  </si>
  <si>
    <t>R12, R28</t>
  </si>
  <si>
    <t>RES SMD 33K OHM 0.1% 1/10W 0603</t>
  </si>
  <si>
    <t>RT0603BRD0733KL</t>
  </si>
  <si>
    <t>C705768</t>
  </si>
  <si>
    <t>33K</t>
  </si>
  <si>
    <t>R13, R17, R21</t>
  </si>
  <si>
    <t>RES 15K OHM 1% 1/10W 0603</t>
  </si>
  <si>
    <t>RC0603FR-0715KL</t>
  </si>
  <si>
    <t>C114661</t>
  </si>
  <si>
    <t>15K</t>
  </si>
  <si>
    <t>R14, R15, R18, R19, R20, R22</t>
  </si>
  <si>
    <t>RES SMD 3.3K OHM 1% 1/10W 0603</t>
  </si>
  <si>
    <t>RC0603FR-073K3L</t>
  </si>
  <si>
    <t>Yageo Phycomp</t>
  </si>
  <si>
    <t>C108078</t>
  </si>
  <si>
    <t>3.3K</t>
  </si>
  <si>
    <t>R23, R24</t>
  </si>
  <si>
    <t>RES SMD 220 OHM 1% 1/10W 0603</t>
  </si>
  <si>
    <t>RC0603FR-07220RL</t>
  </si>
  <si>
    <t>C107696</t>
  </si>
  <si>
    <t>220R</t>
  </si>
  <si>
    <t>R26, R27, R31</t>
  </si>
  <si>
    <t>RES SMD 10K Ohm 1% 1/10W 0603</t>
  </si>
  <si>
    <t>RC0603FR-0710KL</t>
  </si>
  <si>
    <t>C98220</t>
  </si>
  <si>
    <t>10K</t>
  </si>
  <si>
    <t>R30</t>
  </si>
  <si>
    <t>RES SMD 8.2K OHM 0.1% 1/10W 0603</t>
  </si>
  <si>
    <t>RT0603BRD078K2L</t>
  </si>
  <si>
    <t>C861589</t>
  </si>
  <si>
    <t>8.2K</t>
  </si>
  <si>
    <t>R32</t>
  </si>
  <si>
    <t>RES SMD 150OHM 1/10W 0603</t>
  </si>
  <si>
    <t>RC0603FR-07150RL</t>
  </si>
  <si>
    <t>C114608</t>
  </si>
  <si>
    <t>150R</t>
  </si>
  <si>
    <t>LSCS</t>
  </si>
  <si>
    <t>R39, R40, R41, R42, R43, R44</t>
  </si>
  <si>
    <t>RES SMD 100 OHM 1% 1/10W 0603</t>
  </si>
  <si>
    <t>RC0603FR-07100RL</t>
  </si>
  <si>
    <t>RC0603JR-07100RL</t>
  </si>
  <si>
    <t>C110091</t>
  </si>
  <si>
    <t>100R</t>
  </si>
  <si>
    <t>Potentiometer</t>
  </si>
  <si>
    <t>R45, R46</t>
  </si>
  <si>
    <t>±20% 250mW 100kΩ - Variable Resistors/Potentiometers ROHS</t>
  </si>
  <si>
    <t>PT15-L-V-104(100K)</t>
  </si>
  <si>
    <t>BOCHEN</t>
  </si>
  <si>
    <t>C5205120</t>
  </si>
  <si>
    <t>Varistor</t>
  </si>
  <si>
    <t>RV1</t>
  </si>
  <si>
    <t>710V 350V 275V 387V~473V Plugin Varistors ROHS</t>
  </si>
  <si>
    <t>14D431K</t>
  </si>
  <si>
    <t>Hongzhi Elec</t>
  </si>
  <si>
    <t>C137830</t>
  </si>
  <si>
    <t>DIP Switch</t>
  </si>
  <si>
    <t>SW1, SW2</t>
  </si>
  <si>
    <t>4Bit SPST 24V Red 25mA 3000次 Plugin DIP Switches ROHS</t>
  </si>
  <si>
    <t>208-4</t>
  </si>
  <si>
    <t>kangshen</t>
  </si>
  <si>
    <t>C5123702</t>
  </si>
  <si>
    <t>Switch</t>
  </si>
  <si>
    <t>SW3, SW4</t>
  </si>
  <si>
    <t>3mm 2mm Round Button 50mA Top3.65mm SPST 12V SMD Tactile Switches</t>
  </si>
  <si>
    <t>TS-1185EC-C-D-B</t>
  </si>
  <si>
    <t>XKB</t>
  </si>
  <si>
    <t>C318893</t>
  </si>
  <si>
    <t>Transformer</t>
  </si>
  <si>
    <t>T1</t>
  </si>
  <si>
    <t>Vacuum Epoxy Encapsulated,PCB mounting, Pirmary voltage: 110V/220V/230V/380.</t>
  </si>
  <si>
    <t>PE3817-M</t>
  </si>
  <si>
    <t>YHDC</t>
  </si>
  <si>
    <t>Aliexpress</t>
  </si>
  <si>
    <t>Optocoupler</t>
  </si>
  <si>
    <t>U1</t>
  </si>
  <si>
    <t>OPTOISOLATOR 5KV TRIAC 6DIP</t>
  </si>
  <si>
    <t>6 Pin Dip</t>
  </si>
  <si>
    <t>MOC3022</t>
  </si>
  <si>
    <t>Vishay Lite-On</t>
  </si>
  <si>
    <t>C115466</t>
  </si>
  <si>
    <t>Optoisolator</t>
  </si>
  <si>
    <t>U2</t>
  </si>
  <si>
    <t>MOC3063</t>
  </si>
  <si>
    <t>C78487</t>
  </si>
  <si>
    <t>IC</t>
  </si>
  <si>
    <t>U3</t>
  </si>
  <si>
    <t>PIC PIC® 16F Microcontroller IC 8-Bit 20MHz 14KB (8K x 14) FLASH 28-SSOP</t>
  </si>
  <si>
    <t>SSOP-28-208mil</t>
  </si>
  <si>
    <t>PIC16F886-I/SS</t>
  </si>
  <si>
    <t>Microchip</t>
  </si>
  <si>
    <t>C38185</t>
  </si>
  <si>
    <t>U4</t>
  </si>
  <si>
    <t>IC EEPROM 16KBIT I2C 1MHZ 8SOIC</t>
  </si>
  <si>
    <t>SOP-8</t>
  </si>
  <si>
    <t>FT24C16A-ESR-T</t>
  </si>
  <si>
    <t>FMD</t>
  </si>
  <si>
    <t>C615460</t>
  </si>
  <si>
    <t>U5</t>
  </si>
  <si>
    <t>Multiplexer 1-Element CMOS 3-ST 8-IN 16-Pin SOIC Tube</t>
  </si>
  <si>
    <t>SOIC-16</t>
  </si>
  <si>
    <t>CD4512BM</t>
  </si>
  <si>
    <t>Texas Instruments</t>
  </si>
  <si>
    <t>C1547339</t>
  </si>
  <si>
    <t>Regulator</t>
  </si>
  <si>
    <t>U6</t>
  </si>
  <si>
    <t>IC REG LINEAR 5V 1.5A TO220AB</t>
  </si>
  <si>
    <t>L7805ABV</t>
  </si>
  <si>
    <t>C16807</t>
  </si>
  <si>
    <t xml:space="preserve">Total Component Cost </t>
  </si>
  <si>
    <t>Single Board Cost</t>
  </si>
  <si>
    <t>Peripheral</t>
  </si>
  <si>
    <t>WJ15EDGK-3.81-8P</t>
  </si>
  <si>
    <t>8 1 3.81mm 1x8P Green Plug P=3.81mm Pluggable System Terminal Block ROHS</t>
  </si>
  <si>
    <t xml:space="preserve">Ningbo </t>
  </si>
  <si>
    <t>C14234</t>
  </si>
  <si>
    <t>WJ15EDGK-3.81-12P</t>
  </si>
  <si>
    <t>12 1 3.81mm 1x12P Green Plug P=3.81mm Pluggable System Terminal Block ROHS</t>
  </si>
  <si>
    <t>C18980</t>
  </si>
  <si>
    <t>021806.3HXP</t>
  </si>
  <si>
    <t xml:space="preserve">Littelfuse </t>
  </si>
  <si>
    <t>C3156688</t>
  </si>
  <si>
    <t>63A Glass Tube Fuse 6.3A 250V - Fuses</t>
  </si>
  <si>
    <t>RF Module</t>
  </si>
  <si>
    <t>High sensitivity wireless remote control receiving module RXB61 multiple frequency 315M.433MHZ</t>
  </si>
  <si>
    <t>Alibaba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</si>
</sst>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6" formatCode="[$-409]h:mm:ss\ AM/PM;@"/>
    <numFmt numFmtId="167" formatCode="&quot;$&quot;#,##0.0000"/>
    <numFmt numFmtId="168" formatCode="&quot;$&quot;#,##0.00"/>
  </numFmts>
  <fonts count="25">
    <font>
      <sz val="11"/>
      <color theme="1"/>
      <name val="Calibri"/>
      <charset val="134"/>
      <scheme val="minor"/>
    </font>
    <font>
      <sz val="10"/>
      <color indexed="13"/>
      <name val="Arial"/>
      <charset val="134"/>
    </font>
    <font>
      <b/>
      <sz val="24"/>
      <color indexed="10"/>
      <name val="Arial"/>
      <charset val="134"/>
    </font>
    <font>
      <b/>
      <sz val="24"/>
      <color theme="0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2"/>
      <color theme="0"/>
      <name val="Arial"/>
      <charset val="134"/>
    </font>
    <font>
      <b/>
      <sz val="10"/>
      <color indexed="10"/>
      <name val="Arial"/>
      <charset val="134"/>
    </font>
    <font>
      <b/>
      <sz val="10"/>
      <color theme="0"/>
      <name val="Calibri"/>
      <charset val="134"/>
      <scheme val="minor"/>
    </font>
    <font>
      <b/>
      <sz val="10"/>
      <color theme="0"/>
      <name val="Arial"/>
      <charset val="134"/>
    </font>
    <font>
      <sz val="10"/>
      <color theme="0"/>
      <name val="Calibri"/>
      <charset val="134"/>
      <scheme val="minor"/>
    </font>
    <font>
      <sz val="10"/>
      <color theme="0"/>
      <name val="Arial"/>
      <charset val="134"/>
    </font>
    <font>
      <sz val="9"/>
      <color indexed="10"/>
      <name val="Arial"/>
      <charset val="134"/>
    </font>
    <font>
      <sz val="9"/>
      <color theme="0"/>
      <name val="Calibri"/>
      <charset val="134"/>
      <scheme val="minor"/>
    </font>
    <font>
      <sz val="9"/>
      <color theme="0"/>
      <name val="Arial"/>
      <charset val="134"/>
    </font>
    <font>
      <sz val="10"/>
      <color indexed="10"/>
      <name val="Arial"/>
      <charset val="134"/>
    </font>
    <font>
      <b/>
      <sz val="11"/>
      <color theme="0"/>
      <name val="Calibri"/>
      <charset val="134"/>
      <scheme val="minor"/>
    </font>
    <font>
      <b/>
      <sz val="10"/>
      <name val="Calibri"/>
      <charset val="134"/>
      <scheme val="minor"/>
    </font>
    <font>
      <sz val="9"/>
      <name val="Calibri"/>
      <charset val="134"/>
      <scheme val="minor"/>
    </font>
    <font>
      <strike/>
      <sz val="9"/>
      <color rgb="FFFF0000"/>
      <name val="Calibri"/>
      <charset val="134"/>
      <scheme val="minor"/>
    </font>
    <font>
      <b/>
      <strike/>
      <sz val="10"/>
      <color rgb="FFFF0000"/>
      <name val="Calibri"/>
      <charset val="134"/>
      <scheme val="minor"/>
    </font>
    <font>
      <sz val="10"/>
      <name val="Calibri"/>
      <charset val="134"/>
      <scheme val="minor"/>
    </font>
    <font>
      <u/>
      <sz val="11"/>
      <color rgb="FF0000FF"/>
      <name val="Calibri"/>
      <scheme val="minor"/>
    </font>
    <font>
      <b/>
      <sz val="14"/>
      <name val="Calibri"/>
      <charset val="134"/>
      <scheme val="minor"/>
    </font>
    <font>
      <b/>
      <sz val="12"/>
      <color indexed="13"/>
      <name val="Arial"/>
      <charset val="134"/>
    </font>
    <font>
      <sz val="9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/>
    <xf numFmtId="0" fontId="21" fillId="0" borderId="0" applyNumberFormat="0" applyFill="0" applyBorder="0" applyAlignment="0" applyProtection="0">
      <alignment vertical="center"/>
    </xf>
  </cellStyleXfs>
  <cellXfs count="74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vertical="center"/>
    </xf>
    <xf numFmtId="0" fontId="4" fillId="3" borderId="4" xfId="0" applyFont="1" applyFill="1" applyBorder="1" applyAlignment="1">
      <alignment vertical="center"/>
    </xf>
    <xf numFmtId="0" fontId="5" fillId="3" borderId="4" xfId="0" applyFont="1" applyFill="1" applyBorder="1" applyAlignment="1">
      <alignment vertical="center"/>
    </xf>
    <xf numFmtId="0" fontId="6" fillId="3" borderId="5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7" fillId="3" borderId="0" xfId="0" applyFont="1" applyFill="1"/>
    <xf numFmtId="0" fontId="8" fillId="3" borderId="0" xfId="0" applyFont="1" applyFill="1"/>
    <xf numFmtId="0" fontId="9" fillId="3" borderId="6" xfId="0" applyFont="1" applyFill="1" applyBorder="1"/>
    <xf numFmtId="0" fontId="10" fillId="3" borderId="6" xfId="0" applyFont="1" applyFill="1" applyBorder="1"/>
    <xf numFmtId="0" fontId="9" fillId="3" borderId="7" xfId="0" applyFont="1" applyFill="1" applyBorder="1"/>
    <xf numFmtId="0" fontId="10" fillId="3" borderId="7" xfId="0" applyFont="1" applyFill="1" applyBorder="1"/>
    <xf numFmtId="0" fontId="6" fillId="3" borderId="8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7" fillId="3" borderId="7" xfId="0" applyFont="1" applyFill="1" applyBorder="1"/>
    <xf numFmtId="0" fontId="9" fillId="3" borderId="7" xfId="0" applyFont="1" applyFill="1" applyBorder="1" applyAlignment="1">
      <alignment horizontal="left"/>
    </xf>
    <xf numFmtId="0" fontId="11" fillId="3" borderId="5" xfId="0" applyFont="1" applyFill="1" applyBorder="1" applyAlignment="1">
      <alignment horizontal="center"/>
    </xf>
    <xf numFmtId="0" fontId="11" fillId="3" borderId="0" xfId="0" applyFont="1" applyFill="1" applyAlignment="1">
      <alignment horizontal="center"/>
    </xf>
    <xf numFmtId="0" fontId="12" fillId="3" borderId="0" xfId="0" applyFont="1" applyFill="1"/>
    <xf numFmtId="0" fontId="9" fillId="3" borderId="1" xfId="0" applyFont="1" applyFill="1" applyBorder="1" applyAlignment="1">
      <alignment horizontal="left"/>
    </xf>
    <xf numFmtId="0" fontId="13" fillId="3" borderId="0" xfId="0" applyFont="1" applyFill="1"/>
    <xf numFmtId="0" fontId="14" fillId="3" borderId="5" xfId="0" applyFont="1" applyFill="1" applyBorder="1" applyAlignment="1">
      <alignment horizontal="center"/>
    </xf>
    <xf numFmtId="0" fontId="14" fillId="3" borderId="0" xfId="0" applyFont="1" applyFill="1" applyAlignment="1">
      <alignment horizontal="center"/>
    </xf>
    <xf numFmtId="0" fontId="9" fillId="3" borderId="0" xfId="0" applyFont="1" applyFill="1"/>
    <xf numFmtId="166" fontId="9" fillId="3" borderId="0" xfId="0" applyNumberFormat="1" applyFont="1" applyFill="1" applyAlignment="1">
      <alignment horizontal="left"/>
    </xf>
    <xf numFmtId="0" fontId="15" fillId="4" borderId="9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 wrapText="1"/>
    </xf>
    <xf numFmtId="0" fontId="16" fillId="2" borderId="10" xfId="0" applyFont="1" applyFill="1" applyBorder="1" applyAlignment="1">
      <alignment horizontal="center" vertical="center" wrapText="1"/>
    </xf>
    <xf numFmtId="0" fontId="17" fillId="2" borderId="10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16" fillId="2" borderId="11" xfId="0" applyFont="1" applyFill="1" applyBorder="1" applyAlignment="1">
      <alignment horizontal="center" vertical="center" wrapText="1"/>
    </xf>
    <xf numFmtId="0" fontId="17" fillId="2" borderId="11" xfId="0" applyFont="1" applyFill="1" applyBorder="1" applyAlignment="1">
      <alignment horizontal="center" vertical="center" wrapText="1"/>
    </xf>
    <xf numFmtId="0" fontId="18" fillId="2" borderId="11" xfId="0" applyFont="1" applyFill="1" applyBorder="1" applyAlignment="1">
      <alignment horizontal="center" vertical="center" wrapText="1"/>
    </xf>
    <xf numFmtId="0" fontId="18" fillId="2" borderId="10" xfId="0" applyFont="1" applyFill="1" applyBorder="1" applyAlignment="1">
      <alignment horizontal="center" vertical="center" wrapText="1"/>
    </xf>
    <xf numFmtId="0" fontId="19" fillId="2" borderId="10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vertical="center"/>
      <protection locked="0"/>
    </xf>
    <xf numFmtId="0" fontId="20" fillId="3" borderId="0" xfId="0" applyFont="1" applyFill="1" applyAlignment="1" applyProtection="1">
      <alignment horizontal="left" vertical="center"/>
      <protection locked="0"/>
    </xf>
    <xf numFmtId="0" fontId="0" fillId="3" borderId="0" xfId="0" applyFill="1" applyAlignment="1">
      <alignment vertical="center"/>
    </xf>
    <xf numFmtId="0" fontId="0" fillId="3" borderId="0" xfId="0" applyFill="1"/>
    <xf numFmtId="0" fontId="9" fillId="3" borderId="12" xfId="0" applyFont="1" applyFill="1" applyBorder="1" applyAlignment="1" applyProtection="1">
      <alignment horizontal="center" vertical="top"/>
      <protection locked="0"/>
    </xf>
    <xf numFmtId="0" fontId="9" fillId="3" borderId="13" xfId="0" applyFont="1" applyFill="1" applyBorder="1" applyAlignment="1" applyProtection="1">
      <alignment horizontal="center" vertical="top"/>
      <protection locked="0"/>
    </xf>
    <xf numFmtId="0" fontId="7" fillId="3" borderId="13" xfId="0" applyFont="1" applyFill="1" applyBorder="1" applyAlignment="1" applyProtection="1">
      <alignment horizontal="left" vertical="top"/>
      <protection locked="0"/>
    </xf>
    <xf numFmtId="0" fontId="20" fillId="3" borderId="13" xfId="0" applyFont="1" applyFill="1" applyBorder="1" applyAlignment="1" applyProtection="1">
      <alignment horizontal="left" vertical="top"/>
      <protection locked="0"/>
    </xf>
    <xf numFmtId="0" fontId="21" fillId="2" borderId="10" xfId="1" applyFill="1" applyBorder="1" applyAlignment="1">
      <alignment horizontal="center" vertical="center" wrapText="1"/>
    </xf>
    <xf numFmtId="167" fontId="17" fillId="2" borderId="10" xfId="0" applyNumberFormat="1" applyFont="1" applyFill="1" applyBorder="1" applyAlignment="1">
      <alignment horizontal="center" vertical="center" wrapText="1"/>
    </xf>
    <xf numFmtId="0" fontId="21" fillId="2" borderId="11" xfId="1" applyFill="1" applyBorder="1" applyAlignment="1">
      <alignment horizontal="center" vertical="center" wrapText="1"/>
    </xf>
    <xf numFmtId="167" fontId="17" fillId="2" borderId="11" xfId="0" applyNumberFormat="1" applyFont="1" applyFill="1" applyBorder="1" applyAlignment="1">
      <alignment horizontal="center" vertical="center" wrapText="1"/>
    </xf>
    <xf numFmtId="167" fontId="18" fillId="2" borderId="10" xfId="0" applyNumberFormat="1" applyFont="1" applyFill="1" applyBorder="1" applyAlignment="1">
      <alignment horizontal="center" vertical="center" wrapText="1"/>
    </xf>
    <xf numFmtId="0" fontId="23" fillId="3" borderId="16" xfId="0" applyFont="1" applyFill="1" applyBorder="1" applyAlignment="1">
      <alignment vertical="center"/>
    </xf>
    <xf numFmtId="0" fontId="24" fillId="2" borderId="10" xfId="0" applyFont="1" applyFill="1" applyBorder="1" applyAlignment="1">
      <alignment horizontal="center"/>
    </xf>
    <xf numFmtId="0" fontId="18" fillId="2" borderId="10" xfId="0" applyFont="1" applyFill="1" applyBorder="1" applyAlignment="1">
      <alignment horizontal="center"/>
    </xf>
    <xf numFmtId="168" fontId="4" fillId="3" borderId="9" xfId="0" applyNumberFormat="1" applyFont="1" applyFill="1" applyBorder="1" applyAlignment="1">
      <alignment horizontal="center" vertical="center" wrapText="1"/>
    </xf>
    <xf numFmtId="168" fontId="4" fillId="3" borderId="19" xfId="0" applyNumberFormat="1" applyFont="1" applyFill="1" applyBorder="1" applyAlignment="1">
      <alignment horizontal="center" vertical="center"/>
    </xf>
    <xf numFmtId="0" fontId="4" fillId="3" borderId="4" xfId="0" quotePrefix="1" applyFont="1" applyFill="1" applyBorder="1" applyAlignment="1">
      <alignment vertical="center"/>
    </xf>
    <xf numFmtId="0" fontId="7" fillId="3" borderId="0" xfId="0" quotePrefix="1" applyFont="1" applyFill="1" applyAlignment="1">
      <alignment horizontal="left"/>
    </xf>
    <xf numFmtId="0" fontId="7" fillId="3" borderId="7" xfId="0" quotePrefix="1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22" fillId="3" borderId="14" xfId="0" applyFont="1" applyFill="1" applyBorder="1" applyAlignment="1" applyProtection="1">
      <alignment horizontal="center" vertical="top"/>
      <protection locked="0"/>
    </xf>
    <xf numFmtId="0" fontId="22" fillId="3" borderId="4" xfId="0" applyFont="1" applyFill="1" applyBorder="1" applyAlignment="1" applyProtection="1">
      <alignment horizontal="center" vertical="top"/>
      <protection locked="0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15" fillId="3" borderId="0" xfId="0" applyFont="1" applyFill="1" applyAlignment="1">
      <alignment horizontal="center" vertical="center" wrapText="1"/>
    </xf>
    <xf numFmtId="0" fontId="15" fillId="3" borderId="18" xfId="0" applyFont="1" applyFill="1" applyBorder="1" applyAlignment="1">
      <alignment horizontal="center" vertical="center" wrapText="1"/>
    </xf>
    <xf numFmtId="0" fontId="15" fillId="3" borderId="13" xfId="0" applyFont="1" applyFill="1" applyBorder="1" applyAlignment="1">
      <alignment horizontal="center" vertical="center" wrapText="1"/>
    </xf>
    <xf numFmtId="0" fontId="15" fillId="3" borderId="20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9525</xdr:colOff>
      <xdr:row>2</xdr:row>
      <xdr:rowOff>10417</xdr:rowOff>
    </xdr:from>
    <xdr:to>
      <xdr:col>18</xdr:col>
      <xdr:colOff>1724025</xdr:colOff>
      <xdr:row>7</xdr:row>
      <xdr:rowOff>161925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447250" y="608330"/>
          <a:ext cx="1714500" cy="10661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lcsc.com/product-detail/Female-Headers_DEALON-DM254R-11-02-85_C2935973.html" TargetMode="External"/><Relationship Id="rId18" Type="http://schemas.openxmlformats.org/officeDocument/2006/relationships/hyperlink" Target="https://www.lcsc.com/product-detail/Wire-To-Board-Wire-To-Wire-Connector_XFCN-M2510V-04P_C2764792.html" TargetMode="External"/><Relationship Id="rId26" Type="http://schemas.openxmlformats.org/officeDocument/2006/relationships/hyperlink" Target="https://www.lcsc.com/product-detail/Chip-Resistor-Surface-Mount_YAGEO-RC0603JR-07100KL_C100048.html" TargetMode="External"/><Relationship Id="rId39" Type="http://schemas.openxmlformats.org/officeDocument/2006/relationships/hyperlink" Target="https://www.lcsc.com/product-detail/Microcontroller-Units-MCUs-MPUs-SOCs_Microchip-Tech-PIC16F886-I-SS_C38185.html" TargetMode="External"/><Relationship Id="rId21" Type="http://schemas.openxmlformats.org/officeDocument/2006/relationships/hyperlink" Target="https://www.lcsc.com/product-detail/Bipolar-Transistors-BJT_DOWO-BC817-6B-160-400_C371086.html" TargetMode="External"/><Relationship Id="rId34" Type="http://schemas.openxmlformats.org/officeDocument/2006/relationships/hyperlink" Target="https://www.lcsc.com/product-detail/Variable-Resistors-Potentiometers_BOCHEN-Chengdu-Guosheng-Tech-PT15-L-V-104-100K_C5205120.html" TargetMode="External"/><Relationship Id="rId42" Type="http://schemas.openxmlformats.org/officeDocument/2006/relationships/hyperlink" Target="https://www.lcsc.com/product-detail/Multilayer-Ceramic-Capacitors-MLCC-SMD-SMT_Murata-Electronics-GCM188L81H103KA03D_C3011688.html" TargetMode="External"/><Relationship Id="rId47" Type="http://schemas.openxmlformats.org/officeDocument/2006/relationships/hyperlink" Target="https://www.lcsc.com/product-detail/TVS_Littelfuse-P6KE7-5A_C1975000.html" TargetMode="External"/><Relationship Id="rId50" Type="http://schemas.openxmlformats.org/officeDocument/2006/relationships/hyperlink" Target="https://www.lcsc.com/product-detail/Pluggable-System-Terminal-Block_Ningbo-Kangnex-Elec-WJ15EDGK-3-81-12P_C18980.html" TargetMode="External"/><Relationship Id="rId7" Type="http://schemas.openxmlformats.org/officeDocument/2006/relationships/hyperlink" Target="https://www.lcsc.com/product-detail/Suppression-Capacitors_KNSCHA-MPX104K31C3KN15600_C489079.html" TargetMode="External"/><Relationship Id="rId2" Type="http://schemas.openxmlformats.org/officeDocument/2006/relationships/hyperlink" Target="https://www.lcsc.com/product-detail/Multilayer-Ceramic-Capacitors-MLCC-SMD-SMT_YAGEO-CC0603KRX5R9BB104_C110022.html" TargetMode="External"/><Relationship Id="rId16" Type="http://schemas.openxmlformats.org/officeDocument/2006/relationships/hyperlink" Target="https://www.lcsc.com/product-detail/Fuse-Holders_Littelfuse-0PTF0078P_C2760101.html" TargetMode="External"/><Relationship Id="rId29" Type="http://schemas.openxmlformats.org/officeDocument/2006/relationships/hyperlink" Target="https://www.lcsc.com/product-detail/Chip-Resistor-Surface-Mount_YAGEO-RC0603FR-073K3L_C108078.html" TargetMode="External"/><Relationship Id="rId11" Type="http://schemas.openxmlformats.org/officeDocument/2006/relationships/hyperlink" Target="https://www.lcsc.com/product-detail/Pluggable-System-Terminal-Block_DIBO-DB2EVC-5-08-12P-GN_C395823.html" TargetMode="External"/><Relationship Id="rId24" Type="http://schemas.openxmlformats.org/officeDocument/2006/relationships/hyperlink" Target="https://www.lcsc.com/product-detail/Chip-Resistor-Surface-Mount_YAGEO-RT0603DRD071KL_C165964.html" TargetMode="External"/><Relationship Id="rId32" Type="http://schemas.openxmlformats.org/officeDocument/2006/relationships/hyperlink" Target="https://www.lcsc.com/product-detail/Chip-Resistor-Surface-Mount_YAGEO-RT0603BRD078K2L_C861589.html" TargetMode="External"/><Relationship Id="rId37" Type="http://schemas.openxmlformats.org/officeDocument/2006/relationships/hyperlink" Target="https://www.lcsc.com/product-detail/Tactile-Switches_XKB-Connectivity-TS-1185EC-C-D-B_C318893.html" TargetMode="External"/><Relationship Id="rId40" Type="http://schemas.openxmlformats.org/officeDocument/2006/relationships/hyperlink" Target="https://www.lcsc.com/product-detail/Signal-Switches-Encoders-Decoders-Multiplexers_Texas-Instruments-CD4512BM_C1547339.html" TargetMode="External"/><Relationship Id="rId45" Type="http://schemas.openxmlformats.org/officeDocument/2006/relationships/hyperlink" Target="https://www.aliexpress.com/item/32737640605.html?spm=a2g0o.productlist.main.1.9e8c53b8DhDv65&amp;algo_pvid=dfbf5521-a82b-4f41-a663-463eb69d6f12&amp;algo_exp_id=dfbf5521-a82b-4f41-a663-463eb69d6f12-0&amp;pdp_npi=4%40dis%21USD%212.76%212.76%21%21%212.76%21%21%402101fb1" TargetMode="External"/><Relationship Id="rId53" Type="http://schemas.openxmlformats.org/officeDocument/2006/relationships/drawing" Target="../drawings/drawing1.xml"/><Relationship Id="rId5" Type="http://schemas.openxmlformats.org/officeDocument/2006/relationships/hyperlink" Target="https://www.lcsc.com/product-detail/Aluminum-Electrolytic-Capacitors-Leaded_AISHI-Aihua-Group-ERS1KM4R7D11OT_C106689.html" TargetMode="External"/><Relationship Id="rId10" Type="http://schemas.openxmlformats.org/officeDocument/2006/relationships/hyperlink" Target="https://www.lcsc.com/product-detail/Pluggable-System-Terminal-Block_DIBO-DB2EVC-5-08-8P-GN_C395784.html" TargetMode="External"/><Relationship Id="rId19" Type="http://schemas.openxmlformats.org/officeDocument/2006/relationships/hyperlink" Target="https://www.lcsc.com/product-detail/Power-Relays_Omron-Electronics-G5RL-1A-E-HR-DC12_C231374.html" TargetMode="External"/><Relationship Id="rId31" Type="http://schemas.openxmlformats.org/officeDocument/2006/relationships/hyperlink" Target="https://www.lcsc.com/product-detail/Chip-Resistor-Surface-Mount_YAGEO-RC0603FR-0710KL_C98220.html" TargetMode="External"/><Relationship Id="rId44" Type="http://schemas.openxmlformats.org/officeDocument/2006/relationships/hyperlink" Target="https://www.lcsc.com/product-detail/Chip-Resistor-Surface-Mount_YAGEO-RC0603JR-07100RL_C110091.html" TargetMode="External"/><Relationship Id="rId52" Type="http://schemas.openxmlformats.org/officeDocument/2006/relationships/hyperlink" Target="https://www.alibaba.com/product-detail/High-sensitivity-wireless-remote-control-receiving_62065365969.html?spm=a2700.galleryofferlist.normal_offer.d_title.23ed5316mX4Ii5" TargetMode="External"/><Relationship Id="rId4" Type="http://schemas.openxmlformats.org/officeDocument/2006/relationships/hyperlink" Target="https://www.lcsc.com/product-detail/Multilayer-Ceramic-Capacitors-MLCC-SMD-SMT_YAGEO-CC0603KRX7R8BB102_C519404.html" TargetMode="External"/><Relationship Id="rId9" Type="http://schemas.openxmlformats.org/officeDocument/2006/relationships/hyperlink" Target="https://www.lcsc.com/product-detail/Switching-Diode_Diodes-Incorporated-1N4148W-7-F_C83528.html" TargetMode="External"/><Relationship Id="rId14" Type="http://schemas.openxmlformats.org/officeDocument/2006/relationships/hyperlink" Target="https://www.lcsc.com/product-detail/Female-Headers_DEALON-DM254R-11-04-85_C2935975.html" TargetMode="External"/><Relationship Id="rId22" Type="http://schemas.openxmlformats.org/officeDocument/2006/relationships/hyperlink" Target="https://www.lcsc.com/product-detail/Through-Hole-Resistors_VO-FR1-2W-390-5-2T52_C601800.html" TargetMode="External"/><Relationship Id="rId27" Type="http://schemas.openxmlformats.org/officeDocument/2006/relationships/hyperlink" Target="https://www.lcsc.com/product-detail/Chip-Resistor-Surface-Mount_YAGEO-RT0603BRD0733KL_C705768.html" TargetMode="External"/><Relationship Id="rId30" Type="http://schemas.openxmlformats.org/officeDocument/2006/relationships/hyperlink" Target="https://www.lcsc.com/product-detail/Chip-Resistor-Surface-Mount_YAGEO-RC0603FR-07220RL_C107696.html" TargetMode="External"/><Relationship Id="rId35" Type="http://schemas.openxmlformats.org/officeDocument/2006/relationships/hyperlink" Target="https://www.lcsc.com/product-detail/Varistors_Hongzhi-Elec-14D431K_C137830.html" TargetMode="External"/><Relationship Id="rId43" Type="http://schemas.openxmlformats.org/officeDocument/2006/relationships/hyperlink" Target="https://www.lcsc.com/product-detail/TRIACs_STMicroelectronics-BTA16-600BRG_C9100.html" TargetMode="External"/><Relationship Id="rId48" Type="http://schemas.openxmlformats.org/officeDocument/2006/relationships/hyperlink" Target="https://www.lcsc.com/product-detail/EEPROM_FMD-Fremont-Micro-Devices-FT24C16A-ESR-T_C232877.html" TargetMode="External"/><Relationship Id="rId8" Type="http://schemas.openxmlformats.org/officeDocument/2006/relationships/hyperlink" Target="https://www.lcsc.com/product-detail/Diodes-General-Purpose_JUXING-1N4007_C3011149.html" TargetMode="External"/><Relationship Id="rId51" Type="http://schemas.openxmlformats.org/officeDocument/2006/relationships/hyperlink" Target="https://www.lcsc.com/product-detail/Fuses_Littelfuse-021806-3HXP_C3156688.html" TargetMode="External"/><Relationship Id="rId3" Type="http://schemas.openxmlformats.org/officeDocument/2006/relationships/hyperlink" Target="https://www.lcsc.com/product-detail/Aluminum-Electrolytic-Capacitors-Leaded_ROQANG-GR1V471M1013_C2873995.html" TargetMode="External"/><Relationship Id="rId12" Type="http://schemas.openxmlformats.org/officeDocument/2006/relationships/hyperlink" Target="https://www.lcsc.com/product-detail/Pin-Headers_Ckmtw-Shenzhen-Cankemeng-B-2100S03P-A110_C124376.html" TargetMode="External"/><Relationship Id="rId17" Type="http://schemas.openxmlformats.org/officeDocument/2006/relationships/hyperlink" Target="https://www.lcsc.com/product-detail/Screw-terminal_DIBO-DB128L-5-08-2P-BK-S_C430601.html" TargetMode="External"/><Relationship Id="rId25" Type="http://schemas.openxmlformats.org/officeDocument/2006/relationships/hyperlink" Target="https://www.lcsc.com/product-detail/Chip-Resistor-Surface-Mount_YAGEO-RC0603FR-071K5L_C114668.html" TargetMode="External"/><Relationship Id="rId33" Type="http://schemas.openxmlformats.org/officeDocument/2006/relationships/hyperlink" Target="https://www.lcsc.com/product-detail/Chip-Resistor-Surface-Mount_YAGEO-RC0603FR-07150RL_C114608.html" TargetMode="External"/><Relationship Id="rId38" Type="http://schemas.openxmlformats.org/officeDocument/2006/relationships/hyperlink" Target="https://www.lcsc.com/product-detail/Optocouplers-Thyristor-Signal-Output_Lite-On-MOC3022_C115466.html" TargetMode="External"/><Relationship Id="rId46" Type="http://schemas.openxmlformats.org/officeDocument/2006/relationships/hyperlink" Target="https://www.lcsc.com/product-detail/Optocouplers-Thyristor-Signal-Output_Lite-On-MOC3063_C78487.html" TargetMode="External"/><Relationship Id="rId20" Type="http://schemas.openxmlformats.org/officeDocument/2006/relationships/hyperlink" Target="https://www.lcsc.com/product-detail/Light-Emitting-Diodes-LED_Foshan-NationStar-Optoelectronics-NCD0603B3_C158101.html" TargetMode="External"/><Relationship Id="rId41" Type="http://schemas.openxmlformats.org/officeDocument/2006/relationships/hyperlink" Target="https://www.lcsc.com/product-detail/Linear-Voltage-Regulators-LDO_STMicroelectronics-L7805ABV_C16807.html" TargetMode="External"/><Relationship Id="rId1" Type="http://schemas.openxmlformats.org/officeDocument/2006/relationships/hyperlink" Target="https://www.lcsc.com/product-detail/Ceramic-Disc-Capacitors_STE-Songtian-Elec-R08E1E222MN0B0S0N0_C2914748.html" TargetMode="External"/><Relationship Id="rId6" Type="http://schemas.openxmlformats.org/officeDocument/2006/relationships/hyperlink" Target="https://www.lcsc.com/product-detail/Multilayer-Ceramic-Capacitors-MLCC-SMD-SMT_Kyocera-AVX-08051C224K4T2A_C2176107.html" TargetMode="External"/><Relationship Id="rId15" Type="http://schemas.openxmlformats.org/officeDocument/2006/relationships/hyperlink" Target="https://www.lcsc.com/product-detail/Pin-Headers_Ckmtw-Shenzhen-Cankemeng-B-2100S03P-A110_C124376.html" TargetMode="External"/><Relationship Id="rId23" Type="http://schemas.openxmlformats.org/officeDocument/2006/relationships/hyperlink" Target="https://www.lcsc.com/product-detail/Through-Hole-Resistors_YAGEO-MFR50S-T-52-0R_C173163.html" TargetMode="External"/><Relationship Id="rId28" Type="http://schemas.openxmlformats.org/officeDocument/2006/relationships/hyperlink" Target="https://www.lcsc.com/product-detail/Chip-Resistor-Surface-Mount_YAGEO-RC0603FR-0715KL_C114661.html" TargetMode="External"/><Relationship Id="rId36" Type="http://schemas.openxmlformats.org/officeDocument/2006/relationships/hyperlink" Target="https://www.lcsc.com/product-detail/DIP-Switches_kangshen-DS-04-R-T_C5123702.html" TargetMode="External"/><Relationship Id="rId49" Type="http://schemas.openxmlformats.org/officeDocument/2006/relationships/hyperlink" Target="https://www.lcsc.com/product-detail/Pluggable-System-Terminal-Block_Ningbo-Kangnex-Elec-WJ15EDGK-3-81-8P_C14234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65"/>
  <sheetViews>
    <sheetView tabSelected="1" topLeftCell="A54" zoomScaleNormal="100" workbookViewId="0">
      <selection activeCell="G19" sqref="G19"/>
    </sheetView>
  </sheetViews>
  <sheetFormatPr defaultColWidth="9" defaultRowHeight="15"/>
  <cols>
    <col min="2" max="2" width="3.140625" style="1" customWidth="1"/>
    <col min="3" max="3" width="18" style="1" customWidth="1"/>
    <col min="4" max="4" width="27.42578125" customWidth="1"/>
    <col min="5" max="5" width="30.85546875" customWidth="1"/>
    <col min="6" max="6" width="22.28515625" customWidth="1"/>
    <col min="7" max="7" width="33.42578125" customWidth="1"/>
    <col min="8" max="8" width="21.42578125" customWidth="1"/>
    <col min="9" max="9" width="29.7109375" customWidth="1"/>
    <col min="10" max="10" width="17.85546875" customWidth="1"/>
    <col min="11" max="11" width="8.28515625" customWidth="1"/>
    <col min="12" max="12" width="9" customWidth="1"/>
    <col min="13" max="13" width="19" customWidth="1"/>
    <col min="14" max="14" width="15.7109375" customWidth="1"/>
    <col min="15" max="15" width="5.85546875" customWidth="1"/>
    <col min="16" max="16" width="19.42578125" customWidth="1"/>
    <col min="17" max="17" width="20.140625" customWidth="1"/>
    <col min="18" max="18" width="16.5703125" customWidth="1"/>
    <col min="19" max="19" width="26.85546875" customWidth="1"/>
  </cols>
  <sheetData>
    <row r="1" spans="1:19">
      <c r="A1" s="2"/>
      <c r="B1" s="3"/>
      <c r="C1" s="3"/>
      <c r="D1" s="4"/>
      <c r="E1" s="4"/>
      <c r="F1" s="4"/>
      <c r="G1" s="4"/>
      <c r="H1" s="4"/>
      <c r="I1" s="4"/>
      <c r="J1" s="4"/>
      <c r="K1" s="64"/>
      <c r="L1" s="64"/>
      <c r="M1" s="64"/>
      <c r="N1" s="64"/>
      <c r="O1" s="64"/>
      <c r="P1" s="64"/>
      <c r="Q1" s="64"/>
      <c r="R1" s="64"/>
      <c r="S1" s="65"/>
    </row>
    <row r="2" spans="1:19" ht="31.5">
      <c r="A2" s="2"/>
      <c r="B2" s="5"/>
      <c r="C2" s="6"/>
      <c r="D2" s="7" t="s">
        <v>0</v>
      </c>
      <c r="E2" s="7"/>
      <c r="F2" s="61" t="s">
        <v>1</v>
      </c>
      <c r="G2" s="8"/>
      <c r="H2" s="9"/>
      <c r="I2" s="8"/>
      <c r="J2" s="9"/>
      <c r="K2" s="9"/>
      <c r="L2" s="9"/>
      <c r="M2" s="9"/>
      <c r="N2" s="9"/>
      <c r="O2" s="9"/>
      <c r="P2" s="9"/>
      <c r="Q2" s="9"/>
      <c r="R2" s="9"/>
      <c r="S2" s="56"/>
    </row>
    <row r="3" spans="1:19">
      <c r="A3" s="2"/>
      <c r="B3" s="10"/>
      <c r="C3" s="11"/>
      <c r="D3" s="12" t="s">
        <v>2</v>
      </c>
      <c r="E3" s="12"/>
      <c r="F3" s="62" t="s">
        <v>3</v>
      </c>
      <c r="G3" s="12"/>
      <c r="H3" s="13"/>
      <c r="I3" s="12"/>
      <c r="J3" s="13"/>
      <c r="K3" s="13"/>
      <c r="L3" s="13"/>
      <c r="M3" s="13"/>
      <c r="N3" s="13"/>
      <c r="O3" s="13"/>
      <c r="P3" s="13"/>
      <c r="Q3" s="13"/>
      <c r="R3" s="13"/>
      <c r="S3" s="68"/>
    </row>
    <row r="4" spans="1:19">
      <c r="A4" s="2"/>
      <c r="B4" s="10"/>
      <c r="C4" s="11"/>
      <c r="D4" s="12" t="s">
        <v>4</v>
      </c>
      <c r="E4" s="12"/>
      <c r="F4" s="62" t="s">
        <v>3</v>
      </c>
      <c r="G4" s="14"/>
      <c r="H4" s="15"/>
      <c r="I4" s="14"/>
      <c r="J4" s="15"/>
      <c r="K4" s="15"/>
      <c r="L4" s="17"/>
      <c r="M4" s="17"/>
      <c r="N4" s="17"/>
      <c r="O4" s="17"/>
      <c r="P4" s="17"/>
      <c r="Q4" s="17"/>
      <c r="R4" s="17"/>
      <c r="S4" s="69"/>
    </row>
    <row r="5" spans="1:19">
      <c r="A5" s="2"/>
      <c r="B5" s="10"/>
      <c r="C5" s="11"/>
      <c r="D5" s="12" t="s">
        <v>5</v>
      </c>
      <c r="E5" s="12"/>
      <c r="F5" s="63" t="s">
        <v>6</v>
      </c>
      <c r="G5" s="16"/>
      <c r="H5" s="17"/>
      <c r="I5" s="16"/>
      <c r="J5" s="17"/>
      <c r="K5" s="17"/>
      <c r="L5" s="17"/>
      <c r="M5" s="17"/>
      <c r="N5" s="17"/>
      <c r="O5" s="17"/>
      <c r="P5" s="17"/>
      <c r="Q5" s="17"/>
      <c r="R5" s="17"/>
      <c r="S5" s="69"/>
    </row>
    <row r="6" spans="1:19">
      <c r="A6" s="2"/>
      <c r="B6" s="18"/>
      <c r="C6" s="19"/>
      <c r="D6" s="20"/>
      <c r="E6" s="20"/>
      <c r="F6" s="21"/>
      <c r="G6" s="16"/>
      <c r="H6" s="17"/>
      <c r="I6" s="16"/>
      <c r="J6" s="17"/>
      <c r="K6" s="17"/>
      <c r="L6" s="17"/>
      <c r="M6" s="17"/>
      <c r="N6" s="17"/>
      <c r="O6" s="17"/>
      <c r="P6" s="17"/>
      <c r="Q6" s="17"/>
      <c r="R6" s="17"/>
      <c r="S6" s="69"/>
    </row>
    <row r="7" spans="1:19">
      <c r="A7" s="2"/>
      <c r="B7" s="22"/>
      <c r="C7" s="23"/>
      <c r="D7" s="24"/>
      <c r="E7" s="24"/>
      <c r="F7" s="25"/>
      <c r="G7" s="24"/>
      <c r="H7" s="26"/>
      <c r="I7" s="24"/>
      <c r="J7" s="26"/>
      <c r="K7" s="26"/>
      <c r="L7" s="26"/>
      <c r="M7" s="26"/>
      <c r="N7" s="26"/>
      <c r="O7" s="26"/>
      <c r="P7" s="26"/>
      <c r="Q7" s="26"/>
      <c r="R7" s="26"/>
      <c r="S7" s="69"/>
    </row>
    <row r="8" spans="1:19">
      <c r="A8" s="2"/>
      <c r="B8" s="27"/>
      <c r="C8" s="28"/>
      <c r="D8" s="29"/>
      <c r="E8" s="29"/>
      <c r="F8" s="30"/>
      <c r="G8" s="24"/>
      <c r="H8" s="26"/>
      <c r="I8" s="24"/>
      <c r="J8" s="26"/>
      <c r="K8" s="26"/>
      <c r="L8" s="26"/>
      <c r="M8" s="26"/>
      <c r="N8" s="26"/>
      <c r="O8" s="26"/>
      <c r="P8" s="26"/>
      <c r="Q8" s="26"/>
      <c r="R8" s="26"/>
      <c r="S8" s="69"/>
    </row>
    <row r="9" spans="1:19">
      <c r="A9" s="2"/>
      <c r="B9" s="31" t="s">
        <v>7</v>
      </c>
      <c r="C9" s="31" t="s">
        <v>8</v>
      </c>
      <c r="D9" s="31" t="s">
        <v>9</v>
      </c>
      <c r="E9" s="31" t="s">
        <v>10</v>
      </c>
      <c r="F9" s="31" t="s">
        <v>11</v>
      </c>
      <c r="G9" s="31" t="s">
        <v>12</v>
      </c>
      <c r="H9" s="31" t="s">
        <v>13</v>
      </c>
      <c r="I9" s="31" t="s">
        <v>14</v>
      </c>
      <c r="J9" s="31" t="s">
        <v>15</v>
      </c>
      <c r="K9" s="31" t="s">
        <v>16</v>
      </c>
      <c r="L9" s="31" t="s">
        <v>17</v>
      </c>
      <c r="M9" s="31" t="s">
        <v>18</v>
      </c>
      <c r="N9" s="31" t="s">
        <v>19</v>
      </c>
      <c r="O9" s="31" t="s">
        <v>20</v>
      </c>
      <c r="P9" s="31" t="s">
        <v>21</v>
      </c>
      <c r="Q9" s="31" t="s">
        <v>22</v>
      </c>
      <c r="R9" s="31" t="s">
        <v>23</v>
      </c>
      <c r="S9" s="31" t="s">
        <v>24</v>
      </c>
    </row>
    <row r="10" spans="1:19" ht="24">
      <c r="A10" s="2"/>
      <c r="B10" s="32">
        <f t="shared" ref="B10:B17" si="0">ROW(B10)-ROW($B$9)</f>
        <v>1</v>
      </c>
      <c r="C10" s="33" t="s">
        <v>25</v>
      </c>
      <c r="D10" s="34" t="s">
        <v>26</v>
      </c>
      <c r="E10" s="34" t="s">
        <v>27</v>
      </c>
      <c r="F10" s="34" t="s">
        <v>28</v>
      </c>
      <c r="G10" s="34" t="s">
        <v>29</v>
      </c>
      <c r="H10" s="34" t="s">
        <v>30</v>
      </c>
      <c r="I10" s="34" t="s">
        <v>31</v>
      </c>
      <c r="J10" s="34" t="s">
        <v>32</v>
      </c>
      <c r="K10" s="34" t="s">
        <v>33</v>
      </c>
      <c r="L10" s="34">
        <v>1</v>
      </c>
      <c r="M10" s="34">
        <f t="shared" ref="M10:M17" si="1">L10*5</f>
        <v>5</v>
      </c>
      <c r="N10" s="34">
        <v>10</v>
      </c>
      <c r="O10" s="51" t="s">
        <v>34</v>
      </c>
      <c r="P10" s="52">
        <v>3.4700000000000002E-2</v>
      </c>
      <c r="Q10" s="52">
        <f t="shared" ref="Q10:Q17" si="2">P10*N10</f>
        <v>0.34700000000000003</v>
      </c>
      <c r="R10" s="34"/>
      <c r="S10" s="57"/>
    </row>
    <row r="11" spans="1:19">
      <c r="A11" s="2"/>
      <c r="B11" s="35">
        <f t="shared" si="0"/>
        <v>2</v>
      </c>
      <c r="C11" s="36" t="s">
        <v>25</v>
      </c>
      <c r="D11" s="37" t="s">
        <v>35</v>
      </c>
      <c r="E11" s="37" t="s">
        <v>36</v>
      </c>
      <c r="F11" s="37" t="s">
        <v>37</v>
      </c>
      <c r="G11" s="37" t="s">
        <v>38</v>
      </c>
      <c r="H11" s="37" t="s">
        <v>39</v>
      </c>
      <c r="I11" s="37" t="s">
        <v>31</v>
      </c>
      <c r="J11" s="37" t="s">
        <v>40</v>
      </c>
      <c r="K11" s="37" t="s">
        <v>41</v>
      </c>
      <c r="L11" s="37">
        <v>5</v>
      </c>
      <c r="M11" s="37">
        <f t="shared" si="1"/>
        <v>25</v>
      </c>
      <c r="N11" s="37">
        <v>100</v>
      </c>
      <c r="O11" s="53" t="s">
        <v>34</v>
      </c>
      <c r="P11" s="54">
        <v>3.3999999999999998E-3</v>
      </c>
      <c r="Q11" s="54">
        <f t="shared" si="2"/>
        <v>0.33999999999999997</v>
      </c>
      <c r="R11" s="37"/>
      <c r="S11" s="37"/>
    </row>
    <row r="12" spans="1:19" ht="36">
      <c r="A12" s="2"/>
      <c r="B12" s="32">
        <f t="shared" si="0"/>
        <v>3</v>
      </c>
      <c r="C12" s="33" t="s">
        <v>25</v>
      </c>
      <c r="D12" s="34" t="s">
        <v>42</v>
      </c>
      <c r="E12" s="34" t="s">
        <v>43</v>
      </c>
      <c r="F12" s="34" t="s">
        <v>28</v>
      </c>
      <c r="G12" s="34" t="s">
        <v>44</v>
      </c>
      <c r="H12" s="34" t="s">
        <v>45</v>
      </c>
      <c r="I12" s="34" t="s">
        <v>31</v>
      </c>
      <c r="J12" s="34" t="s">
        <v>46</v>
      </c>
      <c r="K12" s="34" t="s">
        <v>47</v>
      </c>
      <c r="L12" s="34">
        <v>1</v>
      </c>
      <c r="M12" s="34">
        <f t="shared" si="1"/>
        <v>5</v>
      </c>
      <c r="N12" s="34">
        <v>10</v>
      </c>
      <c r="O12" s="51" t="s">
        <v>34</v>
      </c>
      <c r="P12" s="52">
        <v>7.1599999999999997E-2</v>
      </c>
      <c r="Q12" s="52">
        <f t="shared" si="2"/>
        <v>0.71599999999999997</v>
      </c>
      <c r="R12" s="34"/>
      <c r="S12" s="57"/>
    </row>
    <row r="13" spans="1:19">
      <c r="A13" s="2"/>
      <c r="B13" s="35">
        <f t="shared" si="0"/>
        <v>4</v>
      </c>
      <c r="C13" s="33" t="s">
        <v>25</v>
      </c>
      <c r="D13" s="37" t="s">
        <v>48</v>
      </c>
      <c r="E13" s="37" t="s">
        <v>49</v>
      </c>
      <c r="F13" s="37" t="s">
        <v>37</v>
      </c>
      <c r="G13" s="38" t="s">
        <v>50</v>
      </c>
      <c r="H13" s="37" t="s">
        <v>51</v>
      </c>
      <c r="I13" s="37" t="s">
        <v>52</v>
      </c>
      <c r="J13" s="37" t="s">
        <v>53</v>
      </c>
      <c r="K13" s="37" t="s">
        <v>54</v>
      </c>
      <c r="L13" s="37">
        <v>3</v>
      </c>
      <c r="M13" s="37">
        <f t="shared" si="1"/>
        <v>15</v>
      </c>
      <c r="N13" s="37">
        <v>20</v>
      </c>
      <c r="O13" s="53" t="s">
        <v>34</v>
      </c>
      <c r="P13" s="54">
        <v>2.3900000000000001E-2</v>
      </c>
      <c r="Q13" s="54">
        <f t="shared" si="2"/>
        <v>0.47800000000000004</v>
      </c>
      <c r="R13" s="37"/>
      <c r="S13" s="37"/>
    </row>
    <row r="14" spans="1:19" ht="24">
      <c r="A14" s="2"/>
      <c r="B14" s="32">
        <f t="shared" si="0"/>
        <v>5</v>
      </c>
      <c r="C14" s="33" t="s">
        <v>25</v>
      </c>
      <c r="D14" s="34" t="s">
        <v>55</v>
      </c>
      <c r="E14" s="34" t="s">
        <v>56</v>
      </c>
      <c r="F14" s="34" t="s">
        <v>37</v>
      </c>
      <c r="G14" s="34" t="s">
        <v>57</v>
      </c>
      <c r="H14" s="34" t="s">
        <v>39</v>
      </c>
      <c r="I14" s="34" t="s">
        <v>31</v>
      </c>
      <c r="J14" s="34" t="s">
        <v>58</v>
      </c>
      <c r="K14" s="34" t="s">
        <v>59</v>
      </c>
      <c r="L14" s="34">
        <v>1</v>
      </c>
      <c r="M14" s="34">
        <f t="shared" si="1"/>
        <v>5</v>
      </c>
      <c r="N14" s="34">
        <v>100</v>
      </c>
      <c r="O14" s="51" t="s">
        <v>34</v>
      </c>
      <c r="P14" s="52">
        <v>2.7000000000000001E-3</v>
      </c>
      <c r="Q14" s="52">
        <f t="shared" si="2"/>
        <v>0.27</v>
      </c>
      <c r="R14" s="34"/>
      <c r="S14" s="57"/>
    </row>
    <row r="15" spans="1:19" ht="36">
      <c r="A15" s="2"/>
      <c r="B15" s="35">
        <f t="shared" si="0"/>
        <v>6</v>
      </c>
      <c r="C15" s="36" t="s">
        <v>25</v>
      </c>
      <c r="D15" s="37" t="s">
        <v>60</v>
      </c>
      <c r="E15" s="37" t="s">
        <v>61</v>
      </c>
      <c r="F15" s="37" t="s">
        <v>28</v>
      </c>
      <c r="G15" s="37" t="s">
        <v>62</v>
      </c>
      <c r="H15" s="37" t="s">
        <v>63</v>
      </c>
      <c r="I15" s="37" t="s">
        <v>31</v>
      </c>
      <c r="J15" s="37" t="s">
        <v>64</v>
      </c>
      <c r="K15" s="37" t="s">
        <v>65</v>
      </c>
      <c r="L15" s="37">
        <v>1</v>
      </c>
      <c r="M15" s="37">
        <f t="shared" si="1"/>
        <v>5</v>
      </c>
      <c r="N15" s="37">
        <v>20</v>
      </c>
      <c r="O15" s="53" t="s">
        <v>34</v>
      </c>
      <c r="P15" s="54">
        <v>2.3599999999999999E-2</v>
      </c>
      <c r="Q15" s="54">
        <f t="shared" si="2"/>
        <v>0.47199999999999998</v>
      </c>
      <c r="R15" s="37"/>
      <c r="S15" s="37"/>
    </row>
    <row r="16" spans="1:19">
      <c r="A16" s="2"/>
      <c r="B16" s="32">
        <f t="shared" si="0"/>
        <v>7</v>
      </c>
      <c r="C16" s="33" t="s">
        <v>25</v>
      </c>
      <c r="D16" s="34" t="s">
        <v>66</v>
      </c>
      <c r="E16" s="34" t="s">
        <v>67</v>
      </c>
      <c r="F16" s="34" t="s">
        <v>68</v>
      </c>
      <c r="G16" s="34" t="s">
        <v>69</v>
      </c>
      <c r="H16" s="34" t="s">
        <v>70</v>
      </c>
      <c r="I16" s="34" t="s">
        <v>31</v>
      </c>
      <c r="J16" s="34" t="s">
        <v>71</v>
      </c>
      <c r="K16" s="34" t="s">
        <v>72</v>
      </c>
      <c r="L16" s="34">
        <v>6</v>
      </c>
      <c r="M16" s="34">
        <f t="shared" si="1"/>
        <v>30</v>
      </c>
      <c r="N16" s="34">
        <v>35</v>
      </c>
      <c r="O16" s="51" t="s">
        <v>34</v>
      </c>
      <c r="P16" s="52">
        <v>8.8599999999999998E-2</v>
      </c>
      <c r="Q16" s="52">
        <f t="shared" si="2"/>
        <v>3.101</v>
      </c>
      <c r="R16" s="34"/>
      <c r="S16" s="57"/>
    </row>
    <row r="17" spans="1:19" ht="24">
      <c r="A17" s="2"/>
      <c r="B17" s="35">
        <f t="shared" si="0"/>
        <v>8</v>
      </c>
      <c r="C17" s="36" t="s">
        <v>25</v>
      </c>
      <c r="D17" s="37" t="s">
        <v>73</v>
      </c>
      <c r="E17" s="37" t="s">
        <v>74</v>
      </c>
      <c r="F17" s="37" t="s">
        <v>28</v>
      </c>
      <c r="G17" s="37" t="s">
        <v>75</v>
      </c>
      <c r="H17" s="37" t="s">
        <v>76</v>
      </c>
      <c r="I17" s="37" t="s">
        <v>31</v>
      </c>
      <c r="J17" s="37" t="s">
        <v>77</v>
      </c>
      <c r="K17" s="37" t="s">
        <v>78</v>
      </c>
      <c r="L17" s="37">
        <v>1</v>
      </c>
      <c r="M17" s="37">
        <f t="shared" si="1"/>
        <v>5</v>
      </c>
      <c r="N17" s="37">
        <v>20</v>
      </c>
      <c r="O17" s="53" t="s">
        <v>34</v>
      </c>
      <c r="P17" s="54">
        <v>3.04E-2</v>
      </c>
      <c r="Q17" s="54">
        <f t="shared" si="2"/>
        <v>0.60799999999999998</v>
      </c>
      <c r="R17" s="37"/>
      <c r="S17" s="37"/>
    </row>
    <row r="18" spans="1:19" ht="24">
      <c r="A18" s="2"/>
      <c r="B18" s="35">
        <f t="shared" ref="B18:B63" si="3">ROW(B18)-ROW($B$9)</f>
        <v>9</v>
      </c>
      <c r="C18" s="36" t="s">
        <v>79</v>
      </c>
      <c r="D18" s="37" t="s">
        <v>80</v>
      </c>
      <c r="E18" s="37" t="s">
        <v>81</v>
      </c>
      <c r="F18" s="37" t="s">
        <v>82</v>
      </c>
      <c r="G18" s="37" t="s">
        <v>83</v>
      </c>
      <c r="H18" s="37" t="s">
        <v>84</v>
      </c>
      <c r="I18" s="37" t="s">
        <v>31</v>
      </c>
      <c r="J18" s="37" t="s">
        <v>85</v>
      </c>
      <c r="K18" s="37" t="s">
        <v>31</v>
      </c>
      <c r="L18" s="37">
        <v>3</v>
      </c>
      <c r="M18" s="37">
        <f t="shared" ref="M18:M63" si="4">L18*5</f>
        <v>15</v>
      </c>
      <c r="N18" s="37">
        <v>50</v>
      </c>
      <c r="O18" s="53" t="s">
        <v>34</v>
      </c>
      <c r="P18" s="54">
        <v>8.8000000000000005E-3</v>
      </c>
      <c r="Q18" s="54">
        <f t="shared" ref="Q18:Q63" si="5">P18*N18</f>
        <v>0.44</v>
      </c>
      <c r="R18" s="37"/>
      <c r="S18" s="37"/>
    </row>
    <row r="19" spans="1:19">
      <c r="A19" s="2"/>
      <c r="B19" s="32">
        <f t="shared" si="3"/>
        <v>10</v>
      </c>
      <c r="C19" s="36" t="s">
        <v>79</v>
      </c>
      <c r="D19" s="34" t="s">
        <v>86</v>
      </c>
      <c r="E19" s="34" t="s">
        <v>87</v>
      </c>
      <c r="F19" s="34" t="s">
        <v>28</v>
      </c>
      <c r="G19" s="34" t="s">
        <v>88</v>
      </c>
      <c r="H19" s="34" t="s">
        <v>89</v>
      </c>
      <c r="I19" s="34" t="s">
        <v>31</v>
      </c>
      <c r="J19" s="34" t="s">
        <v>90</v>
      </c>
      <c r="K19" s="34" t="s">
        <v>31</v>
      </c>
      <c r="L19" s="34">
        <v>1</v>
      </c>
      <c r="M19" s="34">
        <f t="shared" si="4"/>
        <v>5</v>
      </c>
      <c r="N19" s="34">
        <v>10</v>
      </c>
      <c r="O19" s="51" t="s">
        <v>34</v>
      </c>
      <c r="P19" s="52">
        <v>0.1784</v>
      </c>
      <c r="Q19" s="52">
        <f t="shared" si="5"/>
        <v>1.784</v>
      </c>
      <c r="R19" s="34"/>
      <c r="S19" s="57"/>
    </row>
    <row r="20" spans="1:19" ht="36">
      <c r="A20" s="2"/>
      <c r="B20" s="35">
        <f t="shared" si="3"/>
        <v>11</v>
      </c>
      <c r="C20" s="36" t="s">
        <v>79</v>
      </c>
      <c r="D20" s="37" t="s">
        <v>91</v>
      </c>
      <c r="E20" s="37" t="s">
        <v>92</v>
      </c>
      <c r="F20" s="37" t="s">
        <v>93</v>
      </c>
      <c r="G20" s="37" t="s">
        <v>94</v>
      </c>
      <c r="H20" s="37" t="s">
        <v>95</v>
      </c>
      <c r="I20" s="37" t="s">
        <v>31</v>
      </c>
      <c r="J20" s="37" t="s">
        <v>96</v>
      </c>
      <c r="K20" s="37" t="s">
        <v>31</v>
      </c>
      <c r="L20" s="37">
        <v>18</v>
      </c>
      <c r="M20" s="37">
        <f t="shared" si="4"/>
        <v>90</v>
      </c>
      <c r="N20" s="37">
        <v>100</v>
      </c>
      <c r="O20" s="53" t="s">
        <v>34</v>
      </c>
      <c r="P20" s="54">
        <v>1.21E-2</v>
      </c>
      <c r="Q20" s="54">
        <f t="shared" si="5"/>
        <v>1.21</v>
      </c>
      <c r="R20" s="37"/>
      <c r="S20" s="37"/>
    </row>
    <row r="21" spans="1:19" ht="60">
      <c r="A21" s="2"/>
      <c r="B21" s="32">
        <f t="shared" si="3"/>
        <v>12</v>
      </c>
      <c r="C21" s="33" t="s">
        <v>97</v>
      </c>
      <c r="D21" s="34" t="s">
        <v>98</v>
      </c>
      <c r="E21" s="34" t="s">
        <v>99</v>
      </c>
      <c r="F21" s="34" t="s">
        <v>28</v>
      </c>
      <c r="G21" s="34" t="s">
        <v>100</v>
      </c>
      <c r="H21" s="34" t="s">
        <v>101</v>
      </c>
      <c r="I21" s="34" t="s">
        <v>31</v>
      </c>
      <c r="J21" s="34" t="s">
        <v>102</v>
      </c>
      <c r="K21" s="34"/>
      <c r="L21" s="34">
        <v>1</v>
      </c>
      <c r="M21" s="34">
        <f t="shared" si="4"/>
        <v>5</v>
      </c>
      <c r="N21" s="34">
        <v>10</v>
      </c>
      <c r="O21" s="51" t="s">
        <v>34</v>
      </c>
      <c r="P21" s="52">
        <v>0.24460000000000001</v>
      </c>
      <c r="Q21" s="52">
        <f t="shared" si="5"/>
        <v>2.4460000000000002</v>
      </c>
      <c r="R21" s="34"/>
      <c r="S21" s="57"/>
    </row>
    <row r="22" spans="1:19" ht="60">
      <c r="A22" s="2"/>
      <c r="B22" s="35">
        <f t="shared" si="3"/>
        <v>13</v>
      </c>
      <c r="C22" s="36" t="s">
        <v>97</v>
      </c>
      <c r="D22" s="37" t="s">
        <v>103</v>
      </c>
      <c r="E22" s="37" t="s">
        <v>104</v>
      </c>
      <c r="F22" s="34" t="s">
        <v>28</v>
      </c>
      <c r="G22" s="37" t="s">
        <v>105</v>
      </c>
      <c r="H22" s="37" t="s">
        <v>101</v>
      </c>
      <c r="I22" s="37" t="s">
        <v>31</v>
      </c>
      <c r="J22" s="37" t="s">
        <v>106</v>
      </c>
      <c r="K22" s="37"/>
      <c r="L22" s="37">
        <v>1</v>
      </c>
      <c r="M22" s="37">
        <f t="shared" si="4"/>
        <v>5</v>
      </c>
      <c r="N22" s="37">
        <v>6</v>
      </c>
      <c r="O22" s="53" t="s">
        <v>34</v>
      </c>
      <c r="P22" s="54">
        <v>0.42959999999999998</v>
      </c>
      <c r="Q22" s="54">
        <f t="shared" si="5"/>
        <v>2.5775999999999999</v>
      </c>
      <c r="R22" s="37"/>
      <c r="S22" s="37"/>
    </row>
    <row r="23" spans="1:19" ht="24">
      <c r="A23" s="2"/>
      <c r="B23" s="32">
        <f t="shared" si="3"/>
        <v>14</v>
      </c>
      <c r="C23" s="33" t="s">
        <v>107</v>
      </c>
      <c r="D23" s="34" t="s">
        <v>108</v>
      </c>
      <c r="E23" s="34" t="s">
        <v>109</v>
      </c>
      <c r="F23" s="34" t="s">
        <v>110</v>
      </c>
      <c r="G23" s="34" t="s">
        <v>111</v>
      </c>
      <c r="H23" s="34" t="s">
        <v>112</v>
      </c>
      <c r="I23" s="34" t="s">
        <v>31</v>
      </c>
      <c r="J23" s="34" t="s">
        <v>113</v>
      </c>
      <c r="K23" s="34"/>
      <c r="L23" s="34">
        <v>1</v>
      </c>
      <c r="M23" s="34">
        <f t="shared" si="4"/>
        <v>5</v>
      </c>
      <c r="N23" s="34">
        <v>20</v>
      </c>
      <c r="O23" s="51" t="s">
        <v>34</v>
      </c>
      <c r="P23" s="52">
        <v>2.4E-2</v>
      </c>
      <c r="Q23" s="52">
        <f t="shared" si="5"/>
        <v>0.48</v>
      </c>
      <c r="R23" s="34"/>
      <c r="S23" s="57"/>
    </row>
    <row r="24" spans="1:19" ht="48">
      <c r="A24" s="2"/>
      <c r="B24" s="35">
        <f t="shared" si="3"/>
        <v>15</v>
      </c>
      <c r="C24" s="36" t="s">
        <v>107</v>
      </c>
      <c r="D24" s="37" t="s">
        <v>114</v>
      </c>
      <c r="E24" s="37" t="s">
        <v>115</v>
      </c>
      <c r="F24" s="37" t="s">
        <v>116</v>
      </c>
      <c r="G24" s="37" t="s">
        <v>117</v>
      </c>
      <c r="H24" s="37" t="s">
        <v>118</v>
      </c>
      <c r="I24" s="37" t="s">
        <v>31</v>
      </c>
      <c r="J24" s="37" t="s">
        <v>119</v>
      </c>
      <c r="K24" s="37"/>
      <c r="L24" s="37">
        <v>1</v>
      </c>
      <c r="M24" s="37">
        <f t="shared" si="4"/>
        <v>5</v>
      </c>
      <c r="N24" s="37">
        <v>10</v>
      </c>
      <c r="O24" s="53" t="s">
        <v>34</v>
      </c>
      <c r="P24" s="54">
        <v>3.6900000000000002E-2</v>
      </c>
      <c r="Q24" s="54">
        <f t="shared" si="5"/>
        <v>0.36899999999999999</v>
      </c>
      <c r="R24" s="37"/>
      <c r="S24" s="37"/>
    </row>
    <row r="25" spans="1:19">
      <c r="A25" s="2"/>
      <c r="B25" s="32">
        <f t="shared" si="3"/>
        <v>16</v>
      </c>
      <c r="C25" s="33" t="s">
        <v>107</v>
      </c>
      <c r="D25" s="34" t="s">
        <v>120</v>
      </c>
      <c r="E25" s="34" t="s">
        <v>121</v>
      </c>
      <c r="F25" s="34" t="s">
        <v>122</v>
      </c>
      <c r="G25" s="39" t="s">
        <v>123</v>
      </c>
      <c r="H25" s="34" t="s">
        <v>124</v>
      </c>
      <c r="I25" s="34" t="s">
        <v>125</v>
      </c>
      <c r="J25" s="34" t="s">
        <v>126</v>
      </c>
      <c r="K25" s="34"/>
      <c r="L25" s="34">
        <v>1</v>
      </c>
      <c r="M25" s="34">
        <f t="shared" si="4"/>
        <v>5</v>
      </c>
      <c r="N25" s="34">
        <v>10</v>
      </c>
      <c r="O25" s="51" t="s">
        <v>34</v>
      </c>
      <c r="P25" s="52">
        <v>4.9299999999999997E-2</v>
      </c>
      <c r="Q25" s="52">
        <f t="shared" si="5"/>
        <v>0.49299999999999999</v>
      </c>
      <c r="R25" s="34"/>
      <c r="S25" s="57"/>
    </row>
    <row r="26" spans="1:19" ht="24">
      <c r="A26" s="2"/>
      <c r="B26" s="35">
        <f t="shared" si="3"/>
        <v>17</v>
      </c>
      <c r="C26" s="36" t="s">
        <v>107</v>
      </c>
      <c r="D26" s="37" t="s">
        <v>127</v>
      </c>
      <c r="E26" s="37" t="s">
        <v>109</v>
      </c>
      <c r="F26" s="37" t="s">
        <v>110</v>
      </c>
      <c r="G26" s="37" t="s">
        <v>111</v>
      </c>
      <c r="H26" s="37" t="s">
        <v>112</v>
      </c>
      <c r="I26" s="37" t="s">
        <v>31</v>
      </c>
      <c r="J26" s="37" t="s">
        <v>113</v>
      </c>
      <c r="K26" s="37"/>
      <c r="L26" s="37">
        <v>1</v>
      </c>
      <c r="M26" s="37">
        <f t="shared" si="4"/>
        <v>5</v>
      </c>
      <c r="N26" s="37">
        <v>20</v>
      </c>
      <c r="O26" s="53" t="s">
        <v>34</v>
      </c>
      <c r="P26" s="54">
        <v>2.4E-2</v>
      </c>
      <c r="Q26" s="54">
        <f t="shared" si="5"/>
        <v>0.48</v>
      </c>
      <c r="R26" s="37"/>
      <c r="S26" s="37"/>
    </row>
    <row r="27" spans="1:19" ht="48">
      <c r="A27" s="2"/>
      <c r="B27" s="32">
        <f t="shared" si="3"/>
        <v>18</v>
      </c>
      <c r="C27" s="40" t="s">
        <v>107</v>
      </c>
      <c r="D27" s="39" t="s">
        <v>128</v>
      </c>
      <c r="E27" s="39" t="s">
        <v>115</v>
      </c>
      <c r="F27" s="39" t="s">
        <v>116</v>
      </c>
      <c r="G27" s="39" t="s">
        <v>117</v>
      </c>
      <c r="H27" s="39" t="s">
        <v>118</v>
      </c>
      <c r="I27" s="39" t="s">
        <v>31</v>
      </c>
      <c r="J27" s="39" t="s">
        <v>119</v>
      </c>
      <c r="K27" s="39" t="s">
        <v>129</v>
      </c>
      <c r="L27" s="39">
        <v>1</v>
      </c>
      <c r="M27" s="39">
        <f t="shared" si="4"/>
        <v>5</v>
      </c>
      <c r="N27" s="39" t="s">
        <v>31</v>
      </c>
      <c r="O27" s="39" t="s">
        <v>31</v>
      </c>
      <c r="P27" s="55" t="s">
        <v>31</v>
      </c>
      <c r="Q27" s="55" t="s">
        <v>31</v>
      </c>
      <c r="R27" s="40" t="s">
        <v>130</v>
      </c>
      <c r="S27" s="58"/>
    </row>
    <row r="28" spans="1:19" ht="24">
      <c r="A28" s="2"/>
      <c r="B28" s="35">
        <f t="shared" si="3"/>
        <v>19</v>
      </c>
      <c r="C28" s="36" t="s">
        <v>131</v>
      </c>
      <c r="D28" s="37" t="s">
        <v>132</v>
      </c>
      <c r="E28" s="37" t="s">
        <v>133</v>
      </c>
      <c r="F28" s="37" t="s">
        <v>28</v>
      </c>
      <c r="G28" s="37" t="s">
        <v>134</v>
      </c>
      <c r="H28" s="37" t="s">
        <v>89</v>
      </c>
      <c r="I28" s="37" t="s">
        <v>31</v>
      </c>
      <c r="J28" s="37" t="s">
        <v>135</v>
      </c>
      <c r="K28" s="37" t="s">
        <v>31</v>
      </c>
      <c r="L28" s="37">
        <v>1</v>
      </c>
      <c r="M28" s="37">
        <f t="shared" si="4"/>
        <v>5</v>
      </c>
      <c r="N28" s="37">
        <v>6</v>
      </c>
      <c r="O28" s="53" t="s">
        <v>34</v>
      </c>
      <c r="P28" s="54">
        <v>0.80349999999999999</v>
      </c>
      <c r="Q28" s="54">
        <f t="shared" si="5"/>
        <v>4.8209999999999997</v>
      </c>
      <c r="R28" s="37"/>
      <c r="S28" s="37"/>
    </row>
    <row r="29" spans="1:19" ht="36">
      <c r="A29" s="2"/>
      <c r="B29" s="32">
        <f t="shared" si="3"/>
        <v>20</v>
      </c>
      <c r="C29" s="40" t="s">
        <v>136</v>
      </c>
      <c r="D29" s="39" t="s">
        <v>137</v>
      </c>
      <c r="E29" s="39" t="s">
        <v>138</v>
      </c>
      <c r="F29" s="39" t="s">
        <v>139</v>
      </c>
      <c r="G29" s="39" t="s">
        <v>140</v>
      </c>
      <c r="H29" s="39" t="s">
        <v>141</v>
      </c>
      <c r="I29" s="39" t="s">
        <v>31</v>
      </c>
      <c r="J29" s="39" t="s">
        <v>140</v>
      </c>
      <c r="K29" s="39" t="s">
        <v>129</v>
      </c>
      <c r="L29" s="39">
        <v>2</v>
      </c>
      <c r="M29" s="39">
        <f t="shared" si="4"/>
        <v>10</v>
      </c>
      <c r="N29" s="39" t="s">
        <v>31</v>
      </c>
      <c r="O29" s="39" t="s">
        <v>31</v>
      </c>
      <c r="P29" s="55" t="s">
        <v>31</v>
      </c>
      <c r="Q29" s="55" t="s">
        <v>31</v>
      </c>
      <c r="R29" s="40" t="s">
        <v>130</v>
      </c>
      <c r="S29" s="58"/>
    </row>
    <row r="30" spans="1:19" ht="48">
      <c r="A30" s="2"/>
      <c r="B30" s="35">
        <f t="shared" si="3"/>
        <v>21</v>
      </c>
      <c r="C30" s="36" t="s">
        <v>97</v>
      </c>
      <c r="D30" s="37" t="s">
        <v>142</v>
      </c>
      <c r="E30" s="37" t="s">
        <v>143</v>
      </c>
      <c r="F30" s="37" t="s">
        <v>28</v>
      </c>
      <c r="G30" s="37" t="s">
        <v>144</v>
      </c>
      <c r="H30" s="37" t="s">
        <v>101</v>
      </c>
      <c r="I30" s="37" t="s">
        <v>31</v>
      </c>
      <c r="J30" s="37" t="s">
        <v>145</v>
      </c>
      <c r="K30" s="37" t="s">
        <v>31</v>
      </c>
      <c r="L30" s="37">
        <v>1</v>
      </c>
      <c r="M30" s="37">
        <f t="shared" si="4"/>
        <v>5</v>
      </c>
      <c r="N30" s="37">
        <v>10</v>
      </c>
      <c r="O30" s="53" t="s">
        <v>34</v>
      </c>
      <c r="P30" s="54">
        <v>0.1704</v>
      </c>
      <c r="Q30" s="54">
        <f t="shared" si="5"/>
        <v>1.704</v>
      </c>
      <c r="R30" s="37"/>
      <c r="S30" s="37"/>
    </row>
    <row r="31" spans="1:19" ht="36">
      <c r="A31" s="2"/>
      <c r="B31" s="32">
        <f t="shared" si="3"/>
        <v>22</v>
      </c>
      <c r="C31" s="33" t="s">
        <v>146</v>
      </c>
      <c r="D31" s="34" t="s">
        <v>147</v>
      </c>
      <c r="E31" s="34" t="s">
        <v>148</v>
      </c>
      <c r="F31" s="37" t="s">
        <v>28</v>
      </c>
      <c r="G31" s="34" t="s">
        <v>149</v>
      </c>
      <c r="H31" s="34" t="s">
        <v>150</v>
      </c>
      <c r="I31" s="34" t="s">
        <v>31</v>
      </c>
      <c r="J31" s="34" t="s">
        <v>151</v>
      </c>
      <c r="K31" s="34" t="s">
        <v>31</v>
      </c>
      <c r="L31" s="34">
        <v>1</v>
      </c>
      <c r="M31" s="34">
        <f t="shared" si="4"/>
        <v>5</v>
      </c>
      <c r="N31" s="34">
        <v>20</v>
      </c>
      <c r="O31" s="51" t="s">
        <v>34</v>
      </c>
      <c r="P31" s="52">
        <v>3.1699999999999999E-2</v>
      </c>
      <c r="Q31" s="52">
        <f t="shared" si="5"/>
        <v>0.63400000000000001</v>
      </c>
      <c r="R31" s="34"/>
      <c r="S31" s="57"/>
    </row>
    <row r="32" spans="1:19">
      <c r="A32" s="2"/>
      <c r="B32" s="35">
        <f t="shared" si="3"/>
        <v>23</v>
      </c>
      <c r="C32" s="36" t="s">
        <v>152</v>
      </c>
      <c r="D32" s="37" t="s">
        <v>153</v>
      </c>
      <c r="E32" s="37" t="s">
        <v>154</v>
      </c>
      <c r="F32" s="37" t="s">
        <v>28</v>
      </c>
      <c r="G32" s="37" t="s">
        <v>155</v>
      </c>
      <c r="H32" s="37" t="s">
        <v>156</v>
      </c>
      <c r="I32" s="34" t="s">
        <v>31</v>
      </c>
      <c r="J32" s="37" t="s">
        <v>157</v>
      </c>
      <c r="K32" s="37" t="s">
        <v>31</v>
      </c>
      <c r="L32" s="37">
        <v>3</v>
      </c>
      <c r="M32" s="37">
        <f t="shared" si="4"/>
        <v>15</v>
      </c>
      <c r="N32" s="37">
        <v>16</v>
      </c>
      <c r="O32" s="53" t="s">
        <v>34</v>
      </c>
      <c r="P32" s="54">
        <v>1.3714</v>
      </c>
      <c r="Q32" s="54">
        <f t="shared" si="5"/>
        <v>21.942399999999999</v>
      </c>
      <c r="R32" s="37"/>
      <c r="S32" s="37"/>
    </row>
    <row r="33" spans="1:19" ht="24">
      <c r="A33" s="2"/>
      <c r="B33" s="32">
        <f t="shared" si="3"/>
        <v>24</v>
      </c>
      <c r="C33" s="33" t="s">
        <v>158</v>
      </c>
      <c r="D33" s="34" t="s">
        <v>159</v>
      </c>
      <c r="E33" s="34" t="s">
        <v>160</v>
      </c>
      <c r="F33" s="34" t="s">
        <v>161</v>
      </c>
      <c r="G33" s="34" t="s">
        <v>162</v>
      </c>
      <c r="H33" s="34" t="s">
        <v>163</v>
      </c>
      <c r="I33" s="34" t="s">
        <v>31</v>
      </c>
      <c r="J33" s="34" t="s">
        <v>164</v>
      </c>
      <c r="K33" s="34" t="s">
        <v>31</v>
      </c>
      <c r="L33" s="34">
        <v>8</v>
      </c>
      <c r="M33" s="34">
        <f t="shared" si="4"/>
        <v>40</v>
      </c>
      <c r="N33" s="34">
        <v>60</v>
      </c>
      <c r="O33" s="51" t="s">
        <v>34</v>
      </c>
      <c r="P33" s="52">
        <v>3.1300000000000001E-2</v>
      </c>
      <c r="Q33" s="52">
        <f t="shared" si="5"/>
        <v>1.8780000000000001</v>
      </c>
      <c r="R33" s="34"/>
      <c r="S33" s="57"/>
    </row>
    <row r="34" spans="1:19" ht="24">
      <c r="A34" s="2"/>
      <c r="B34" s="35">
        <f t="shared" si="3"/>
        <v>25</v>
      </c>
      <c r="C34" s="36" t="s">
        <v>165</v>
      </c>
      <c r="D34" s="37" t="s">
        <v>166</v>
      </c>
      <c r="E34" s="37" t="s">
        <v>167</v>
      </c>
      <c r="F34" s="37" t="s">
        <v>168</v>
      </c>
      <c r="G34" s="37" t="s">
        <v>169</v>
      </c>
      <c r="H34" s="37" t="s">
        <v>170</v>
      </c>
      <c r="I34" s="37" t="s">
        <v>31</v>
      </c>
      <c r="J34" s="37" t="s">
        <v>171</v>
      </c>
      <c r="K34" s="37" t="s">
        <v>31</v>
      </c>
      <c r="L34" s="37">
        <v>2</v>
      </c>
      <c r="M34" s="37">
        <f t="shared" si="4"/>
        <v>10</v>
      </c>
      <c r="N34" s="37">
        <v>11</v>
      </c>
      <c r="O34" s="53" t="s">
        <v>34</v>
      </c>
      <c r="P34" s="54">
        <v>0.62370000000000003</v>
      </c>
      <c r="Q34" s="54">
        <f t="shared" si="5"/>
        <v>6.8607000000000005</v>
      </c>
      <c r="R34" s="37"/>
      <c r="S34" s="37"/>
    </row>
    <row r="35" spans="1:19" ht="36">
      <c r="A35" s="2"/>
      <c r="B35" s="32">
        <f t="shared" si="3"/>
        <v>26</v>
      </c>
      <c r="C35" s="33" t="s">
        <v>172</v>
      </c>
      <c r="D35" s="34" t="s">
        <v>173</v>
      </c>
      <c r="E35" s="34" t="s">
        <v>174</v>
      </c>
      <c r="F35" s="34" t="s">
        <v>175</v>
      </c>
      <c r="G35" s="34" t="s">
        <v>176</v>
      </c>
      <c r="H35" s="34" t="s">
        <v>177</v>
      </c>
      <c r="I35" s="34" t="s">
        <v>31</v>
      </c>
      <c r="J35" s="34" t="s">
        <v>178</v>
      </c>
      <c r="K35" s="34" t="s">
        <v>31</v>
      </c>
      <c r="L35" s="34">
        <v>4</v>
      </c>
      <c r="M35" s="34">
        <f t="shared" si="4"/>
        <v>20</v>
      </c>
      <c r="N35" s="34">
        <v>50</v>
      </c>
      <c r="O35" s="51" t="s">
        <v>34</v>
      </c>
      <c r="P35" s="52">
        <v>1.43E-2</v>
      </c>
      <c r="Q35" s="52">
        <f t="shared" si="5"/>
        <v>0.71499999999999997</v>
      </c>
      <c r="R35" s="34"/>
      <c r="S35" s="57"/>
    </row>
    <row r="36" spans="1:19" ht="36">
      <c r="A36" s="2"/>
      <c r="B36" s="35">
        <f t="shared" si="3"/>
        <v>27</v>
      </c>
      <c r="C36" s="33" t="s">
        <v>179</v>
      </c>
      <c r="D36" s="37" t="s">
        <v>180</v>
      </c>
      <c r="E36" s="37" t="s">
        <v>181</v>
      </c>
      <c r="F36" s="37" t="s">
        <v>182</v>
      </c>
      <c r="G36" s="37" t="s">
        <v>183</v>
      </c>
      <c r="H36" s="37" t="s">
        <v>184</v>
      </c>
      <c r="I36" s="37" t="s">
        <v>31</v>
      </c>
      <c r="J36" s="37" t="s">
        <v>185</v>
      </c>
      <c r="K36" s="37" t="s">
        <v>186</v>
      </c>
      <c r="L36" s="37">
        <v>4</v>
      </c>
      <c r="M36" s="37">
        <f t="shared" si="4"/>
        <v>20</v>
      </c>
      <c r="N36" s="37">
        <v>40</v>
      </c>
      <c r="O36" s="53" t="s">
        <v>34</v>
      </c>
      <c r="P36" s="54">
        <v>2.9499999999999998E-2</v>
      </c>
      <c r="Q36" s="54">
        <f t="shared" si="5"/>
        <v>1.18</v>
      </c>
      <c r="R36" s="37"/>
      <c r="S36" s="37"/>
    </row>
    <row r="37" spans="1:19" ht="25.5">
      <c r="A37" s="2"/>
      <c r="B37" s="32">
        <f t="shared" si="3"/>
        <v>28</v>
      </c>
      <c r="C37" s="33" t="s">
        <v>179</v>
      </c>
      <c r="D37" s="34" t="s">
        <v>187</v>
      </c>
      <c r="E37" s="34" t="s">
        <v>188</v>
      </c>
      <c r="F37" s="34" t="s">
        <v>28</v>
      </c>
      <c r="G37" s="34" t="s">
        <v>189</v>
      </c>
      <c r="H37" s="34" t="s">
        <v>190</v>
      </c>
      <c r="I37" s="34" t="s">
        <v>31</v>
      </c>
      <c r="J37" s="34" t="s">
        <v>191</v>
      </c>
      <c r="K37" s="34" t="s">
        <v>192</v>
      </c>
      <c r="L37" s="34">
        <v>2</v>
      </c>
      <c r="M37" s="34">
        <f t="shared" si="4"/>
        <v>10</v>
      </c>
      <c r="N37" s="34">
        <v>50</v>
      </c>
      <c r="O37" s="51" t="s">
        <v>34</v>
      </c>
      <c r="P37" s="52">
        <v>1.8599999999999998E-2</v>
      </c>
      <c r="Q37" s="52">
        <f t="shared" si="5"/>
        <v>0.92999999999999994</v>
      </c>
      <c r="R37" s="34"/>
      <c r="S37" s="57"/>
    </row>
    <row r="38" spans="1:19">
      <c r="A38" s="2"/>
      <c r="B38" s="35">
        <f t="shared" si="3"/>
        <v>29</v>
      </c>
      <c r="C38" s="33" t="s">
        <v>193</v>
      </c>
      <c r="D38" s="37" t="s">
        <v>194</v>
      </c>
      <c r="E38" s="37" t="s">
        <v>195</v>
      </c>
      <c r="F38" s="37" t="s">
        <v>196</v>
      </c>
      <c r="G38" s="37" t="s">
        <v>197</v>
      </c>
      <c r="H38" s="37" t="s">
        <v>39</v>
      </c>
      <c r="I38" s="37" t="s">
        <v>31</v>
      </c>
      <c r="J38" s="37" t="s">
        <v>198</v>
      </c>
      <c r="K38" s="37" t="s">
        <v>199</v>
      </c>
      <c r="L38" s="37">
        <v>3</v>
      </c>
      <c r="M38" s="37">
        <f t="shared" si="4"/>
        <v>15</v>
      </c>
      <c r="N38" s="37">
        <v>50</v>
      </c>
      <c r="O38" s="53" t="s">
        <v>34</v>
      </c>
      <c r="P38" s="54">
        <v>1.35E-2</v>
      </c>
      <c r="Q38" s="54">
        <f t="shared" si="5"/>
        <v>0.67500000000000004</v>
      </c>
      <c r="R38" s="37"/>
      <c r="S38" s="37"/>
    </row>
    <row r="39" spans="1:19">
      <c r="A39" s="2"/>
      <c r="B39" s="32">
        <f t="shared" si="3"/>
        <v>30</v>
      </c>
      <c r="C39" s="33" t="s">
        <v>193</v>
      </c>
      <c r="D39" s="34" t="s">
        <v>200</v>
      </c>
      <c r="E39" s="34" t="s">
        <v>201</v>
      </c>
      <c r="F39" s="34" t="s">
        <v>196</v>
      </c>
      <c r="G39" s="34" t="s">
        <v>202</v>
      </c>
      <c r="H39" s="34" t="s">
        <v>39</v>
      </c>
      <c r="I39" s="37" t="s">
        <v>31</v>
      </c>
      <c r="J39" s="34" t="s">
        <v>203</v>
      </c>
      <c r="K39" s="34" t="s">
        <v>204</v>
      </c>
      <c r="L39" s="34">
        <v>6</v>
      </c>
      <c r="M39" s="34">
        <f t="shared" si="4"/>
        <v>30</v>
      </c>
      <c r="N39" s="34">
        <v>100</v>
      </c>
      <c r="O39" s="51" t="s">
        <v>34</v>
      </c>
      <c r="P39" s="52">
        <v>1.1999999999999999E-3</v>
      </c>
      <c r="Q39" s="52">
        <f t="shared" si="5"/>
        <v>0.12</v>
      </c>
      <c r="R39" s="34"/>
      <c r="S39" s="57"/>
    </row>
    <row r="40" spans="1:19">
      <c r="A40" s="2"/>
      <c r="B40" s="35">
        <f t="shared" si="3"/>
        <v>31</v>
      </c>
      <c r="C40" s="36" t="s">
        <v>193</v>
      </c>
      <c r="D40" s="37" t="s">
        <v>205</v>
      </c>
      <c r="E40" s="37" t="s">
        <v>206</v>
      </c>
      <c r="F40" s="37" t="s">
        <v>196</v>
      </c>
      <c r="G40" s="37" t="s">
        <v>207</v>
      </c>
      <c r="H40" s="37" t="s">
        <v>39</v>
      </c>
      <c r="I40" s="37" t="s">
        <v>31</v>
      </c>
      <c r="J40" s="37" t="s">
        <v>208</v>
      </c>
      <c r="K40" s="37" t="s">
        <v>209</v>
      </c>
      <c r="L40" s="37">
        <v>4</v>
      </c>
      <c r="M40" s="37">
        <f t="shared" si="4"/>
        <v>20</v>
      </c>
      <c r="N40" s="37">
        <v>100</v>
      </c>
      <c r="O40" s="53" t="s">
        <v>34</v>
      </c>
      <c r="P40" s="54">
        <v>1E-3</v>
      </c>
      <c r="Q40" s="54">
        <f t="shared" si="5"/>
        <v>0.1</v>
      </c>
      <c r="R40" s="37"/>
      <c r="S40" s="37"/>
    </row>
    <row r="41" spans="1:19">
      <c r="A41" s="2"/>
      <c r="B41" s="32">
        <f t="shared" si="3"/>
        <v>32</v>
      </c>
      <c r="C41" s="36" t="s">
        <v>193</v>
      </c>
      <c r="D41" s="34" t="s">
        <v>210</v>
      </c>
      <c r="E41" s="34" t="s">
        <v>211</v>
      </c>
      <c r="F41" s="34" t="s">
        <v>196</v>
      </c>
      <c r="G41" s="34" t="s">
        <v>212</v>
      </c>
      <c r="H41" s="34" t="s">
        <v>39</v>
      </c>
      <c r="I41" s="37" t="s">
        <v>31</v>
      </c>
      <c r="J41" s="34" t="s">
        <v>213</v>
      </c>
      <c r="K41" s="34" t="s">
        <v>214</v>
      </c>
      <c r="L41" s="34">
        <v>2</v>
      </c>
      <c r="M41" s="34">
        <f t="shared" si="4"/>
        <v>10</v>
      </c>
      <c r="N41" s="34">
        <v>20</v>
      </c>
      <c r="O41" s="51" t="s">
        <v>34</v>
      </c>
      <c r="P41" s="52">
        <v>2.64E-2</v>
      </c>
      <c r="Q41" s="52">
        <f t="shared" si="5"/>
        <v>0.52800000000000002</v>
      </c>
      <c r="R41" s="34"/>
      <c r="S41" s="57"/>
    </row>
    <row r="42" spans="1:19">
      <c r="A42" s="2"/>
      <c r="B42" s="35">
        <f t="shared" si="3"/>
        <v>33</v>
      </c>
      <c r="C42" s="36" t="s">
        <v>193</v>
      </c>
      <c r="D42" s="37" t="s">
        <v>215</v>
      </c>
      <c r="E42" s="37" t="s">
        <v>216</v>
      </c>
      <c r="F42" s="37" t="s">
        <v>196</v>
      </c>
      <c r="G42" s="37" t="s">
        <v>217</v>
      </c>
      <c r="H42" s="37" t="s">
        <v>39</v>
      </c>
      <c r="I42" s="37" t="s">
        <v>31</v>
      </c>
      <c r="J42" s="37" t="s">
        <v>218</v>
      </c>
      <c r="K42" s="37" t="s">
        <v>219</v>
      </c>
      <c r="L42" s="37">
        <v>3</v>
      </c>
      <c r="M42" s="37">
        <f t="shared" si="4"/>
        <v>15</v>
      </c>
      <c r="N42" s="37">
        <v>100</v>
      </c>
      <c r="O42" s="53" t="s">
        <v>34</v>
      </c>
      <c r="P42" s="54">
        <v>1.1999999999999999E-3</v>
      </c>
      <c r="Q42" s="54">
        <f t="shared" si="5"/>
        <v>0.12</v>
      </c>
      <c r="R42" s="37"/>
      <c r="S42" s="37"/>
    </row>
    <row r="43" spans="1:19">
      <c r="A43" s="2"/>
      <c r="B43" s="32">
        <f t="shared" si="3"/>
        <v>34</v>
      </c>
      <c r="C43" s="33" t="s">
        <v>193</v>
      </c>
      <c r="D43" s="34" t="s">
        <v>220</v>
      </c>
      <c r="E43" s="34" t="s">
        <v>221</v>
      </c>
      <c r="F43" s="34" t="s">
        <v>196</v>
      </c>
      <c r="G43" s="34" t="s">
        <v>222</v>
      </c>
      <c r="H43" s="34" t="s">
        <v>223</v>
      </c>
      <c r="I43" s="37" t="s">
        <v>31</v>
      </c>
      <c r="J43" s="34" t="s">
        <v>224</v>
      </c>
      <c r="K43" s="34" t="s">
        <v>225</v>
      </c>
      <c r="L43" s="34">
        <v>6</v>
      </c>
      <c r="M43" s="34">
        <f t="shared" si="4"/>
        <v>30</v>
      </c>
      <c r="N43" s="34">
        <v>100</v>
      </c>
      <c r="O43" s="51" t="s">
        <v>34</v>
      </c>
      <c r="P43" s="52">
        <v>1.2999999999999999E-3</v>
      </c>
      <c r="Q43" s="52">
        <f t="shared" si="5"/>
        <v>0.13</v>
      </c>
      <c r="R43" s="34"/>
      <c r="S43" s="57"/>
    </row>
    <row r="44" spans="1:19">
      <c r="A44" s="2"/>
      <c r="B44" s="35">
        <f t="shared" si="3"/>
        <v>35</v>
      </c>
      <c r="C44" s="36" t="s">
        <v>193</v>
      </c>
      <c r="D44" s="37" t="s">
        <v>226</v>
      </c>
      <c r="E44" s="37" t="s">
        <v>227</v>
      </c>
      <c r="F44" s="37" t="s">
        <v>196</v>
      </c>
      <c r="G44" s="37" t="s">
        <v>228</v>
      </c>
      <c r="H44" s="37" t="s">
        <v>39</v>
      </c>
      <c r="I44" s="37" t="s">
        <v>31</v>
      </c>
      <c r="J44" s="37" t="s">
        <v>229</v>
      </c>
      <c r="K44" s="37" t="s">
        <v>230</v>
      </c>
      <c r="L44" s="37">
        <v>2</v>
      </c>
      <c r="M44" s="37">
        <f t="shared" si="4"/>
        <v>10</v>
      </c>
      <c r="N44" s="37">
        <v>100</v>
      </c>
      <c r="O44" s="53" t="s">
        <v>34</v>
      </c>
      <c r="P44" s="54">
        <v>1.1000000000000001E-3</v>
      </c>
      <c r="Q44" s="54">
        <f t="shared" si="5"/>
        <v>0.11</v>
      </c>
      <c r="R44" s="37"/>
      <c r="S44" s="37"/>
    </row>
    <row r="45" spans="1:19">
      <c r="A45" s="2"/>
      <c r="B45" s="32">
        <f t="shared" si="3"/>
        <v>36</v>
      </c>
      <c r="C45" s="33" t="s">
        <v>193</v>
      </c>
      <c r="D45" s="34" t="s">
        <v>231</v>
      </c>
      <c r="E45" s="34" t="s">
        <v>232</v>
      </c>
      <c r="F45" s="34" t="s">
        <v>196</v>
      </c>
      <c r="G45" s="34" t="s">
        <v>233</v>
      </c>
      <c r="H45" s="34" t="s">
        <v>39</v>
      </c>
      <c r="I45" s="37" t="s">
        <v>31</v>
      </c>
      <c r="J45" s="34" t="s">
        <v>234</v>
      </c>
      <c r="K45" s="34" t="s">
        <v>235</v>
      </c>
      <c r="L45" s="34">
        <v>3</v>
      </c>
      <c r="M45" s="34">
        <f t="shared" si="4"/>
        <v>15</v>
      </c>
      <c r="N45" s="34">
        <v>100</v>
      </c>
      <c r="O45" s="51" t="s">
        <v>34</v>
      </c>
      <c r="P45" s="52">
        <v>1E-3</v>
      </c>
      <c r="Q45" s="52">
        <f t="shared" si="5"/>
        <v>0.1</v>
      </c>
      <c r="R45" s="34"/>
      <c r="S45" s="57"/>
    </row>
    <row r="46" spans="1:19">
      <c r="A46" s="2"/>
      <c r="B46" s="35">
        <f t="shared" si="3"/>
        <v>37</v>
      </c>
      <c r="C46" s="36" t="s">
        <v>193</v>
      </c>
      <c r="D46" s="37" t="s">
        <v>236</v>
      </c>
      <c r="E46" s="37" t="s">
        <v>237</v>
      </c>
      <c r="F46" s="37" t="s">
        <v>196</v>
      </c>
      <c r="G46" s="37" t="s">
        <v>238</v>
      </c>
      <c r="H46" s="37" t="s">
        <v>39</v>
      </c>
      <c r="I46" s="37" t="s">
        <v>31</v>
      </c>
      <c r="J46" s="37" t="s">
        <v>239</v>
      </c>
      <c r="K46" s="37" t="s">
        <v>240</v>
      </c>
      <c r="L46" s="37">
        <v>1</v>
      </c>
      <c r="M46" s="37">
        <f t="shared" si="4"/>
        <v>5</v>
      </c>
      <c r="N46" s="37">
        <v>20</v>
      </c>
      <c r="O46" s="53" t="s">
        <v>34</v>
      </c>
      <c r="P46" s="54">
        <v>2.58E-2</v>
      </c>
      <c r="Q46" s="54">
        <f t="shared" si="5"/>
        <v>0.51600000000000001</v>
      </c>
      <c r="R46" s="37"/>
      <c r="S46" s="37"/>
    </row>
    <row r="47" spans="1:19">
      <c r="A47" s="2"/>
      <c r="B47" s="32">
        <f t="shared" si="3"/>
        <v>38</v>
      </c>
      <c r="C47" s="33" t="s">
        <v>193</v>
      </c>
      <c r="D47" s="34" t="s">
        <v>241</v>
      </c>
      <c r="E47" s="34" t="s">
        <v>242</v>
      </c>
      <c r="F47" s="34" t="s">
        <v>196</v>
      </c>
      <c r="G47" s="34" t="s">
        <v>243</v>
      </c>
      <c r="H47" s="34" t="s">
        <v>39</v>
      </c>
      <c r="I47" s="37" t="s">
        <v>31</v>
      </c>
      <c r="J47" s="34" t="s">
        <v>244</v>
      </c>
      <c r="K47" s="34" t="s">
        <v>245</v>
      </c>
      <c r="L47" s="34">
        <v>1</v>
      </c>
      <c r="M47" s="34">
        <f t="shared" si="4"/>
        <v>5</v>
      </c>
      <c r="N47" s="34">
        <v>100</v>
      </c>
      <c r="O47" s="51" t="s">
        <v>246</v>
      </c>
      <c r="P47" s="52">
        <v>1.1999999999999999E-3</v>
      </c>
      <c r="Q47" s="52">
        <f t="shared" si="5"/>
        <v>0.12</v>
      </c>
      <c r="R47" s="34"/>
      <c r="S47" s="57"/>
    </row>
    <row r="48" spans="1:19">
      <c r="A48" s="2"/>
      <c r="B48" s="35">
        <f t="shared" si="3"/>
        <v>39</v>
      </c>
      <c r="C48" s="36" t="s">
        <v>193</v>
      </c>
      <c r="D48" s="37" t="s">
        <v>247</v>
      </c>
      <c r="E48" s="37" t="s">
        <v>248</v>
      </c>
      <c r="F48" s="37" t="s">
        <v>196</v>
      </c>
      <c r="G48" s="38" t="s">
        <v>249</v>
      </c>
      <c r="H48" s="37" t="s">
        <v>39</v>
      </c>
      <c r="I48" s="37" t="s">
        <v>250</v>
      </c>
      <c r="J48" s="37" t="s">
        <v>251</v>
      </c>
      <c r="K48" s="37" t="s">
        <v>252</v>
      </c>
      <c r="L48" s="37">
        <v>6</v>
      </c>
      <c r="M48" s="37">
        <f t="shared" si="4"/>
        <v>30</v>
      </c>
      <c r="N48" s="37">
        <v>100</v>
      </c>
      <c r="O48" s="53" t="s">
        <v>34</v>
      </c>
      <c r="P48" s="54">
        <v>1E-3</v>
      </c>
      <c r="Q48" s="54">
        <f t="shared" si="5"/>
        <v>0.1</v>
      </c>
      <c r="R48" s="37"/>
      <c r="S48" s="37"/>
    </row>
    <row r="49" spans="1:19" ht="24">
      <c r="A49" s="2"/>
      <c r="B49" s="32">
        <f t="shared" si="3"/>
        <v>40</v>
      </c>
      <c r="C49" s="33" t="s">
        <v>253</v>
      </c>
      <c r="D49" s="34" t="s">
        <v>254</v>
      </c>
      <c r="E49" s="34" t="s">
        <v>255</v>
      </c>
      <c r="F49" s="34" t="s">
        <v>28</v>
      </c>
      <c r="G49" s="34" t="s">
        <v>256</v>
      </c>
      <c r="H49" s="34" t="s">
        <v>257</v>
      </c>
      <c r="I49" s="34" t="s">
        <v>31</v>
      </c>
      <c r="J49" s="34" t="s">
        <v>258</v>
      </c>
      <c r="K49" s="34" t="s">
        <v>209</v>
      </c>
      <c r="L49" s="34">
        <v>2</v>
      </c>
      <c r="M49" s="34">
        <f t="shared" si="4"/>
        <v>10</v>
      </c>
      <c r="N49" s="34">
        <v>15</v>
      </c>
      <c r="O49" s="51" t="s">
        <v>34</v>
      </c>
      <c r="P49" s="52">
        <v>0.1555</v>
      </c>
      <c r="Q49" s="52">
        <f t="shared" si="5"/>
        <v>2.3325</v>
      </c>
      <c r="R49" s="34"/>
      <c r="S49" s="57"/>
    </row>
    <row r="50" spans="1:19" ht="24">
      <c r="A50" s="2"/>
      <c r="B50" s="35">
        <f t="shared" si="3"/>
        <v>41</v>
      </c>
      <c r="C50" s="36" t="s">
        <v>259</v>
      </c>
      <c r="D50" s="37" t="s">
        <v>260</v>
      </c>
      <c r="E50" s="37" t="s">
        <v>261</v>
      </c>
      <c r="F50" s="34" t="s">
        <v>28</v>
      </c>
      <c r="G50" s="37" t="s">
        <v>262</v>
      </c>
      <c r="H50" s="37" t="s">
        <v>263</v>
      </c>
      <c r="I50" s="34" t="s">
        <v>31</v>
      </c>
      <c r="J50" s="37" t="s">
        <v>264</v>
      </c>
      <c r="K50" s="37" t="s">
        <v>31</v>
      </c>
      <c r="L50" s="37">
        <v>1</v>
      </c>
      <c r="M50" s="37">
        <f t="shared" si="4"/>
        <v>5</v>
      </c>
      <c r="N50" s="37">
        <v>10</v>
      </c>
      <c r="O50" s="53" t="s">
        <v>34</v>
      </c>
      <c r="P50" s="54">
        <v>9.2700000000000005E-2</v>
      </c>
      <c r="Q50" s="54">
        <f t="shared" si="5"/>
        <v>0.92700000000000005</v>
      </c>
      <c r="R50" s="37"/>
      <c r="S50" s="37"/>
    </row>
    <row r="51" spans="1:19" ht="24">
      <c r="A51" s="2"/>
      <c r="B51" s="32">
        <f t="shared" si="3"/>
        <v>42</v>
      </c>
      <c r="C51" s="33" t="s">
        <v>265</v>
      </c>
      <c r="D51" s="34" t="s">
        <v>266</v>
      </c>
      <c r="E51" s="34" t="s">
        <v>267</v>
      </c>
      <c r="F51" s="34" t="s">
        <v>28</v>
      </c>
      <c r="G51" s="34" t="s">
        <v>268</v>
      </c>
      <c r="H51" s="34" t="s">
        <v>269</v>
      </c>
      <c r="I51" s="34" t="s">
        <v>31</v>
      </c>
      <c r="J51" s="34" t="s">
        <v>270</v>
      </c>
      <c r="K51" s="34" t="s">
        <v>31</v>
      </c>
      <c r="L51" s="34">
        <v>2</v>
      </c>
      <c r="M51" s="34">
        <f t="shared" si="4"/>
        <v>10</v>
      </c>
      <c r="N51" s="34">
        <v>12</v>
      </c>
      <c r="O51" s="51" t="s">
        <v>34</v>
      </c>
      <c r="P51" s="52">
        <v>0.34039999999999998</v>
      </c>
      <c r="Q51" s="52">
        <f t="shared" si="5"/>
        <v>4.0847999999999995</v>
      </c>
      <c r="R51" s="34"/>
      <c r="S51" s="57"/>
    </row>
    <row r="52" spans="1:19" ht="36">
      <c r="A52" s="2"/>
      <c r="B52" s="35">
        <f t="shared" si="3"/>
        <v>43</v>
      </c>
      <c r="C52" s="36" t="s">
        <v>271</v>
      </c>
      <c r="D52" s="37" t="s">
        <v>272</v>
      </c>
      <c r="E52" s="37" t="s">
        <v>273</v>
      </c>
      <c r="F52" s="34" t="s">
        <v>28</v>
      </c>
      <c r="G52" s="37" t="s">
        <v>274</v>
      </c>
      <c r="H52" s="37" t="s">
        <v>275</v>
      </c>
      <c r="I52" s="37" t="s">
        <v>31</v>
      </c>
      <c r="J52" s="37" t="s">
        <v>276</v>
      </c>
      <c r="K52" s="37" t="s">
        <v>31</v>
      </c>
      <c r="L52" s="37">
        <v>2</v>
      </c>
      <c r="M52" s="37">
        <f t="shared" si="4"/>
        <v>10</v>
      </c>
      <c r="N52" s="37">
        <v>20</v>
      </c>
      <c r="O52" s="53" t="s">
        <v>34</v>
      </c>
      <c r="P52" s="54">
        <v>5.4199999999999998E-2</v>
      </c>
      <c r="Q52" s="54">
        <f t="shared" si="5"/>
        <v>1.0840000000000001</v>
      </c>
      <c r="R52" s="37"/>
      <c r="S52" s="37"/>
    </row>
    <row r="53" spans="1:19" ht="36">
      <c r="A53" s="2"/>
      <c r="B53" s="32">
        <f t="shared" si="3"/>
        <v>44</v>
      </c>
      <c r="C53" s="33" t="s">
        <v>277</v>
      </c>
      <c r="D53" s="34" t="s">
        <v>278</v>
      </c>
      <c r="E53" s="34" t="s">
        <v>279</v>
      </c>
      <c r="F53" s="34" t="s">
        <v>28</v>
      </c>
      <c r="G53" s="34" t="s">
        <v>280</v>
      </c>
      <c r="H53" s="34" t="s">
        <v>281</v>
      </c>
      <c r="I53" s="34" t="s">
        <v>31</v>
      </c>
      <c r="J53" s="34" t="s">
        <v>31</v>
      </c>
      <c r="K53" s="34" t="s">
        <v>31</v>
      </c>
      <c r="L53" s="34">
        <v>1</v>
      </c>
      <c r="M53" s="34">
        <f t="shared" si="4"/>
        <v>5</v>
      </c>
      <c r="N53" s="34">
        <v>6</v>
      </c>
      <c r="O53" s="51" t="s">
        <v>282</v>
      </c>
      <c r="P53" s="52">
        <v>2.76</v>
      </c>
      <c r="Q53" s="52">
        <f t="shared" si="5"/>
        <v>16.559999999999999</v>
      </c>
      <c r="R53" s="34"/>
      <c r="S53" s="57"/>
    </row>
    <row r="54" spans="1:19">
      <c r="A54" s="2"/>
      <c r="B54" s="35">
        <f t="shared" si="3"/>
        <v>45</v>
      </c>
      <c r="C54" s="36" t="s">
        <v>283</v>
      </c>
      <c r="D54" s="37" t="s">
        <v>284</v>
      </c>
      <c r="E54" s="37" t="s">
        <v>285</v>
      </c>
      <c r="F54" s="37" t="s">
        <v>286</v>
      </c>
      <c r="G54" s="37" t="s">
        <v>287</v>
      </c>
      <c r="H54" s="37" t="s">
        <v>288</v>
      </c>
      <c r="I54" s="37" t="s">
        <v>31</v>
      </c>
      <c r="J54" s="37" t="s">
        <v>289</v>
      </c>
      <c r="K54" s="37" t="s">
        <v>31</v>
      </c>
      <c r="L54" s="37">
        <v>1</v>
      </c>
      <c r="M54" s="37">
        <f t="shared" si="4"/>
        <v>5</v>
      </c>
      <c r="N54" s="37">
        <v>10</v>
      </c>
      <c r="O54" s="53" t="s">
        <v>34</v>
      </c>
      <c r="P54" s="54">
        <v>0.114</v>
      </c>
      <c r="Q54" s="54">
        <f t="shared" si="5"/>
        <v>1.1400000000000001</v>
      </c>
      <c r="R54" s="37"/>
      <c r="S54" s="37"/>
    </row>
    <row r="55" spans="1:19">
      <c r="A55" s="2"/>
      <c r="B55" s="32">
        <f t="shared" si="3"/>
        <v>46</v>
      </c>
      <c r="C55" s="33" t="s">
        <v>290</v>
      </c>
      <c r="D55" s="34" t="s">
        <v>291</v>
      </c>
      <c r="E55" s="34" t="s">
        <v>285</v>
      </c>
      <c r="F55" s="34" t="s">
        <v>286</v>
      </c>
      <c r="G55" s="34" t="s">
        <v>292</v>
      </c>
      <c r="H55" s="37" t="s">
        <v>288</v>
      </c>
      <c r="I55" s="34" t="s">
        <v>31</v>
      </c>
      <c r="J55" s="34" t="s">
        <v>293</v>
      </c>
      <c r="K55" s="34" t="s">
        <v>31</v>
      </c>
      <c r="L55" s="34">
        <v>1</v>
      </c>
      <c r="M55" s="34">
        <f t="shared" si="4"/>
        <v>5</v>
      </c>
      <c r="N55" s="34">
        <v>10</v>
      </c>
      <c r="O55" s="51" t="s">
        <v>34</v>
      </c>
      <c r="P55" s="52">
        <v>0.18740000000000001</v>
      </c>
      <c r="Q55" s="52">
        <f t="shared" si="5"/>
        <v>1.8740000000000001</v>
      </c>
      <c r="R55" s="34"/>
      <c r="S55" s="57"/>
    </row>
    <row r="56" spans="1:19" ht="24">
      <c r="A56" s="2"/>
      <c r="B56" s="35">
        <f t="shared" si="3"/>
        <v>47</v>
      </c>
      <c r="C56" s="36" t="s">
        <v>294</v>
      </c>
      <c r="D56" s="37" t="s">
        <v>295</v>
      </c>
      <c r="E56" s="37" t="s">
        <v>296</v>
      </c>
      <c r="F56" s="37" t="s">
        <v>297</v>
      </c>
      <c r="G56" s="37" t="s">
        <v>298</v>
      </c>
      <c r="H56" s="37" t="s">
        <v>299</v>
      </c>
      <c r="I56" s="34" t="s">
        <v>31</v>
      </c>
      <c r="J56" s="37" t="s">
        <v>300</v>
      </c>
      <c r="K56" s="34" t="s">
        <v>31</v>
      </c>
      <c r="L56" s="37">
        <v>1</v>
      </c>
      <c r="M56" s="37">
        <f t="shared" si="4"/>
        <v>5</v>
      </c>
      <c r="N56" s="37">
        <v>6</v>
      </c>
      <c r="O56" s="53" t="s">
        <v>34</v>
      </c>
      <c r="P56" s="54">
        <v>2.3913000000000002</v>
      </c>
      <c r="Q56" s="54">
        <f t="shared" si="5"/>
        <v>14.347800000000001</v>
      </c>
      <c r="R56" s="37"/>
      <c r="S56" s="37"/>
    </row>
    <row r="57" spans="1:19">
      <c r="A57" s="2"/>
      <c r="B57" s="32">
        <f t="shared" si="3"/>
        <v>48</v>
      </c>
      <c r="C57" s="33" t="s">
        <v>294</v>
      </c>
      <c r="D57" s="34" t="s">
        <v>301</v>
      </c>
      <c r="E57" s="34" t="s">
        <v>302</v>
      </c>
      <c r="F57" s="34" t="s">
        <v>303</v>
      </c>
      <c r="G57" s="34" t="s">
        <v>304</v>
      </c>
      <c r="H57" s="37" t="s">
        <v>305</v>
      </c>
      <c r="I57" s="34" t="s">
        <v>31</v>
      </c>
      <c r="J57" s="34" t="s">
        <v>306</v>
      </c>
      <c r="K57" s="34" t="s">
        <v>31</v>
      </c>
      <c r="L57" s="34">
        <v>1</v>
      </c>
      <c r="M57" s="34">
        <f t="shared" si="4"/>
        <v>5</v>
      </c>
      <c r="N57" s="34">
        <v>10</v>
      </c>
      <c r="O57" s="51" t="s">
        <v>34</v>
      </c>
      <c r="P57" s="52">
        <v>7.5499999999999998E-2</v>
      </c>
      <c r="Q57" s="52">
        <f t="shared" si="5"/>
        <v>0.755</v>
      </c>
      <c r="R57" s="34"/>
      <c r="S57" s="57"/>
    </row>
    <row r="58" spans="1:19" ht="24">
      <c r="A58" s="2"/>
      <c r="B58" s="35">
        <f t="shared" si="3"/>
        <v>49</v>
      </c>
      <c r="C58" s="36" t="s">
        <v>294</v>
      </c>
      <c r="D58" s="37" t="s">
        <v>307</v>
      </c>
      <c r="E58" s="37" t="s">
        <v>308</v>
      </c>
      <c r="F58" s="37" t="s">
        <v>309</v>
      </c>
      <c r="G58" s="37" t="s">
        <v>310</v>
      </c>
      <c r="H58" s="37" t="s">
        <v>311</v>
      </c>
      <c r="I58" s="34" t="s">
        <v>31</v>
      </c>
      <c r="J58" s="37" t="s">
        <v>312</v>
      </c>
      <c r="K58" s="34" t="s">
        <v>31</v>
      </c>
      <c r="L58" s="37">
        <v>1</v>
      </c>
      <c r="M58" s="37">
        <f t="shared" si="4"/>
        <v>5</v>
      </c>
      <c r="N58" s="37">
        <v>6</v>
      </c>
      <c r="O58" s="53" t="s">
        <v>34</v>
      </c>
      <c r="P58" s="54">
        <v>1.1384000000000001</v>
      </c>
      <c r="Q58" s="54">
        <f t="shared" si="5"/>
        <v>6.8304000000000009</v>
      </c>
      <c r="R58" s="37"/>
      <c r="S58" s="37"/>
    </row>
    <row r="59" spans="1:19">
      <c r="A59" s="2"/>
      <c r="B59" s="32">
        <f t="shared" si="3"/>
        <v>50</v>
      </c>
      <c r="C59" s="33" t="s">
        <v>313</v>
      </c>
      <c r="D59" s="34" t="s">
        <v>314</v>
      </c>
      <c r="E59" s="34" t="s">
        <v>315</v>
      </c>
      <c r="F59" s="34" t="s">
        <v>168</v>
      </c>
      <c r="G59" s="34" t="s">
        <v>316</v>
      </c>
      <c r="H59" s="34" t="s">
        <v>170</v>
      </c>
      <c r="I59" s="34" t="s">
        <v>31</v>
      </c>
      <c r="J59" s="34" t="s">
        <v>317</v>
      </c>
      <c r="K59" s="34" t="s">
        <v>31</v>
      </c>
      <c r="L59" s="34">
        <v>1</v>
      </c>
      <c r="M59" s="34">
        <f t="shared" si="4"/>
        <v>5</v>
      </c>
      <c r="N59" s="34">
        <v>10</v>
      </c>
      <c r="O59" s="51" t="s">
        <v>34</v>
      </c>
      <c r="P59" s="52">
        <v>0.21560000000000001</v>
      </c>
      <c r="Q59" s="52">
        <f t="shared" si="5"/>
        <v>2.1560000000000001</v>
      </c>
      <c r="R59" s="34"/>
      <c r="S59" s="57"/>
    </row>
    <row r="60" spans="1:19" ht="36">
      <c r="A60" s="2"/>
      <c r="B60" s="32">
        <f t="shared" si="3"/>
        <v>51</v>
      </c>
      <c r="C60" s="33" t="s">
        <v>320</v>
      </c>
      <c r="D60" s="34" t="s">
        <v>31</v>
      </c>
      <c r="E60" s="34" t="s">
        <v>322</v>
      </c>
      <c r="F60" s="34" t="s">
        <v>28</v>
      </c>
      <c r="G60" s="34" t="s">
        <v>321</v>
      </c>
      <c r="H60" s="34" t="s">
        <v>323</v>
      </c>
      <c r="I60" s="34" t="s">
        <v>31</v>
      </c>
      <c r="J60" s="34" t="s">
        <v>324</v>
      </c>
      <c r="K60" s="34" t="s">
        <v>31</v>
      </c>
      <c r="L60" s="34">
        <v>1</v>
      </c>
      <c r="M60" s="34">
        <f t="shared" si="4"/>
        <v>5</v>
      </c>
      <c r="N60" s="34">
        <v>6</v>
      </c>
      <c r="O60" s="51" t="s">
        <v>34</v>
      </c>
      <c r="P60" s="52">
        <v>0.48049999999999998</v>
      </c>
      <c r="Q60" s="52">
        <f t="shared" si="5"/>
        <v>2.883</v>
      </c>
      <c r="R60" s="34"/>
      <c r="S60" s="57"/>
    </row>
    <row r="61" spans="1:19" ht="36">
      <c r="A61" s="2"/>
      <c r="B61" s="32">
        <f t="shared" si="3"/>
        <v>52</v>
      </c>
      <c r="C61" s="33" t="s">
        <v>320</v>
      </c>
      <c r="D61" s="34" t="s">
        <v>31</v>
      </c>
      <c r="E61" s="34" t="s">
        <v>326</v>
      </c>
      <c r="F61" s="34" t="s">
        <v>28</v>
      </c>
      <c r="G61" s="34" t="s">
        <v>325</v>
      </c>
      <c r="H61" s="34" t="s">
        <v>323</v>
      </c>
      <c r="I61" s="34" t="s">
        <v>31</v>
      </c>
      <c r="J61" s="34" t="s">
        <v>327</v>
      </c>
      <c r="K61" s="34" t="s">
        <v>31</v>
      </c>
      <c r="L61" s="34">
        <v>1</v>
      </c>
      <c r="M61" s="34">
        <f t="shared" si="4"/>
        <v>5</v>
      </c>
      <c r="N61" s="34">
        <v>6</v>
      </c>
      <c r="O61" s="51" t="s">
        <v>34</v>
      </c>
      <c r="P61" s="52">
        <v>0.6825</v>
      </c>
      <c r="Q61" s="52">
        <f t="shared" si="5"/>
        <v>4.0949999999999998</v>
      </c>
      <c r="R61" s="34"/>
      <c r="S61" s="57"/>
    </row>
    <row r="62" spans="1:19" ht="24">
      <c r="A62" s="2"/>
      <c r="B62" s="32">
        <f t="shared" si="3"/>
        <v>53</v>
      </c>
      <c r="C62" s="33" t="s">
        <v>320</v>
      </c>
      <c r="D62" s="34" t="s">
        <v>31</v>
      </c>
      <c r="E62" s="34" t="s">
        <v>331</v>
      </c>
      <c r="F62" s="34" t="s">
        <v>28</v>
      </c>
      <c r="G62" s="34" t="s">
        <v>328</v>
      </c>
      <c r="H62" s="34" t="s">
        <v>329</v>
      </c>
      <c r="I62" s="34" t="s">
        <v>31</v>
      </c>
      <c r="J62" s="34" t="s">
        <v>330</v>
      </c>
      <c r="K62" s="34" t="s">
        <v>31</v>
      </c>
      <c r="L62" s="34">
        <v>1</v>
      </c>
      <c r="M62" s="34">
        <f t="shared" si="4"/>
        <v>5</v>
      </c>
      <c r="N62" s="34">
        <v>10</v>
      </c>
      <c r="O62" s="51" t="s">
        <v>34</v>
      </c>
      <c r="P62" s="52">
        <v>0.26019999999999999</v>
      </c>
      <c r="Q62" s="52">
        <f t="shared" si="5"/>
        <v>2.6019999999999999</v>
      </c>
      <c r="R62" s="34"/>
      <c r="S62" s="57"/>
    </row>
    <row r="63" spans="1:19" ht="36">
      <c r="A63" s="2"/>
      <c r="B63" s="32">
        <f t="shared" si="3"/>
        <v>54</v>
      </c>
      <c r="C63" s="33" t="s">
        <v>320</v>
      </c>
      <c r="D63" s="34" t="s">
        <v>31</v>
      </c>
      <c r="E63" s="34" t="s">
        <v>333</v>
      </c>
      <c r="F63" s="34" t="s">
        <v>31</v>
      </c>
      <c r="G63" s="34" t="s">
        <v>332</v>
      </c>
      <c r="H63" s="34" t="s">
        <v>31</v>
      </c>
      <c r="I63" s="34" t="s">
        <v>31</v>
      </c>
      <c r="J63" s="34" t="s">
        <v>31</v>
      </c>
      <c r="K63" s="34" t="s">
        <v>31</v>
      </c>
      <c r="L63" s="34">
        <v>1</v>
      </c>
      <c r="M63" s="34">
        <f t="shared" si="4"/>
        <v>5</v>
      </c>
      <c r="N63" s="34">
        <v>6</v>
      </c>
      <c r="O63" s="51" t="s">
        <v>334</v>
      </c>
      <c r="P63" s="52">
        <v>2.6</v>
      </c>
      <c r="Q63" s="52">
        <f t="shared" si="5"/>
        <v>15.600000000000001</v>
      </c>
      <c r="R63" s="34"/>
      <c r="S63" s="57"/>
    </row>
    <row r="64" spans="1:19" ht="18.75">
      <c r="A64" s="2"/>
      <c r="B64" s="41"/>
      <c r="C64" s="42"/>
      <c r="D64" s="43"/>
      <c r="E64" s="44"/>
      <c r="F64" s="45"/>
      <c r="G64" s="46"/>
      <c r="H64" s="45"/>
      <c r="I64" s="46"/>
      <c r="J64" s="45"/>
      <c r="K64" s="46"/>
      <c r="L64" s="46"/>
      <c r="M64" s="46"/>
      <c r="N64" s="66" t="s">
        <v>318</v>
      </c>
      <c r="O64" s="67"/>
      <c r="P64" s="67"/>
      <c r="Q64" s="59">
        <f>SUM(Q10:Q63)</f>
        <v>137.16720000000001</v>
      </c>
      <c r="R64" s="70"/>
      <c r="S64" s="71"/>
    </row>
    <row r="65" spans="1:19" ht="18.75">
      <c r="A65" s="2"/>
      <c r="B65" s="47"/>
      <c r="C65" s="48"/>
      <c r="D65" s="49"/>
      <c r="E65" s="50"/>
      <c r="F65" s="50"/>
      <c r="G65" s="50"/>
      <c r="H65" s="50"/>
      <c r="I65" s="50"/>
      <c r="J65" s="50"/>
      <c r="K65" s="50"/>
      <c r="L65" s="50"/>
      <c r="M65" s="50"/>
      <c r="N65" s="66" t="s">
        <v>319</v>
      </c>
      <c r="O65" s="67"/>
      <c r="P65" s="67"/>
      <c r="Q65" s="60">
        <f>Q64/5</f>
        <v>27.433440000000001</v>
      </c>
      <c r="R65" s="72"/>
      <c r="S65" s="73"/>
    </row>
  </sheetData>
  <mergeCells count="5">
    <mergeCell ref="K1:S1"/>
    <mergeCell ref="N64:P64"/>
    <mergeCell ref="N65:P65"/>
    <mergeCell ref="S3:S8"/>
    <mergeCell ref="R64:S65"/>
  </mergeCells>
  <hyperlinks>
    <hyperlink ref="O10" r:id="rId1"/>
    <hyperlink ref="O11" r:id="rId2"/>
    <hyperlink ref="O12" r:id="rId3"/>
    <hyperlink ref="O14" r:id="rId4"/>
    <hyperlink ref="O15" r:id="rId5"/>
    <hyperlink ref="O16" r:id="rId6"/>
    <hyperlink ref="O17" r:id="rId7"/>
    <hyperlink ref="O18" r:id="rId8"/>
    <hyperlink ref="O20" r:id="rId9"/>
    <hyperlink ref="O21" r:id="rId10"/>
    <hyperlink ref="O22" r:id="rId11"/>
    <hyperlink ref="O23" r:id="rId12"/>
    <hyperlink ref="O24" r:id="rId13"/>
    <hyperlink ref="O25" r:id="rId14"/>
    <hyperlink ref="O26" r:id="rId15"/>
    <hyperlink ref="O28" r:id="rId16"/>
    <hyperlink ref="O30" r:id="rId17"/>
    <hyperlink ref="O31" r:id="rId18"/>
    <hyperlink ref="O32" r:id="rId19"/>
    <hyperlink ref="O33" r:id="rId20"/>
    <hyperlink ref="O35" r:id="rId21"/>
    <hyperlink ref="O36" r:id="rId22"/>
    <hyperlink ref="O37" r:id="rId23"/>
    <hyperlink ref="O38" r:id="rId24"/>
    <hyperlink ref="O39" r:id="rId25"/>
    <hyperlink ref="O40" r:id="rId26"/>
    <hyperlink ref="O41" r:id="rId27"/>
    <hyperlink ref="O42" r:id="rId28"/>
    <hyperlink ref="O43" r:id="rId29"/>
    <hyperlink ref="O44" r:id="rId30"/>
    <hyperlink ref="O45" r:id="rId31"/>
    <hyperlink ref="O46" r:id="rId32"/>
    <hyperlink ref="O47" r:id="rId33"/>
    <hyperlink ref="O49" r:id="rId34"/>
    <hyperlink ref="O50" r:id="rId35"/>
    <hyperlink ref="O51" r:id="rId36"/>
    <hyperlink ref="O52" r:id="rId37"/>
    <hyperlink ref="O54" r:id="rId38"/>
    <hyperlink ref="O56" r:id="rId39"/>
    <hyperlink ref="O58" r:id="rId40"/>
    <hyperlink ref="O59" r:id="rId41"/>
    <hyperlink ref="O13" r:id="rId42"/>
    <hyperlink ref="O34" r:id="rId43"/>
    <hyperlink ref="O48" r:id="rId44"/>
    <hyperlink ref="O53" r:id="rId45"/>
    <hyperlink ref="O55" r:id="rId46"/>
    <hyperlink ref="O19" r:id="rId47"/>
    <hyperlink ref="O57" r:id="rId48"/>
    <hyperlink ref="O60" r:id="rId49"/>
    <hyperlink ref="O61" r:id="rId50"/>
    <hyperlink ref="O62" r:id="rId51"/>
    <hyperlink ref="O63" r:id="rId52"/>
  </hyperlinks>
  <pageMargins left="0.7" right="0.7" top="0.75" bottom="0.75" header="0.3" footer="0.3"/>
  <pageSetup paperSize="9" orientation="portrait"/>
  <drawing r:id="rId5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2019-12-12T10:34:00Z</dcterms:created>
  <dcterms:modified xsi:type="dcterms:W3CDTF">2023-11-08T15:36:30Z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8F7949189A824625A14E24F069B3AC46_13</vt:lpwstr>
  </property>
  <property fmtid="{D5CDD505-2E9C-101B-9397-08002B2CF9AE}" pid="3" name="KSOProductBuildVer">
    <vt:lpwstr>1033-12.2.0.13266</vt:lpwstr>
  </property>
</Properties>
</file>